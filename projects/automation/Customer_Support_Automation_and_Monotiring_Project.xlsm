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hidePivotFieldList="1" defaultThemeVersion="166925"/>
  <mc:AlternateContent xmlns:mc="http://schemas.openxmlformats.org/markup-compatibility/2006">
    <mc:Choice Requires="x15">
      <x15ac:absPath xmlns:x15ac="http://schemas.microsoft.com/office/spreadsheetml/2010/11/ac" url="https://d.docs.live.net/e972bfed46162b2c/Documents/"/>
    </mc:Choice>
  </mc:AlternateContent>
  <xr:revisionPtr revIDLastSave="106" documentId="8_{53516F1E-F9F6-4FFB-8FBB-6A91CA9B9A10}" xr6:coauthVersionLast="47" xr6:coauthVersionMax="47" xr10:uidLastSave="{BCA45027-4589-4A06-A5AC-1B46F1103A63}"/>
  <bookViews>
    <workbookView xWindow="-98" yWindow="-98" windowWidth="23236" windowHeight="13875" firstSheet="2" activeTab="2" xr2:uid="{DB086A29-4E9D-4942-8912-325019C8F3E7}"/>
  </bookViews>
  <sheets>
    <sheet name="Customer Suport Report" sheetId="2" state="hidden" r:id="rId1"/>
    <sheet name="KPIs" sheetId="1" state="hidden" r:id="rId2"/>
    <sheet name="Dashboard" sheetId="4" r:id="rId3"/>
    <sheet name="Email Automation" sheetId="5" state="hidden" r:id="rId4"/>
  </sheets>
  <definedNames>
    <definedName name="ExternalData_1" localSheetId="0" hidden="1">'Customer Suport Report'!$A$1:$Q$60</definedName>
    <definedName name="NativeTimeline_Date_of_Ticket">#N/A</definedName>
    <definedName name="Slicer_Assigned_Department">#N/A</definedName>
  </definedNames>
  <calcPr calcId="191029"/>
  <pivotCaches>
    <pivotCache cacheId="0"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7"/>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5" i="1" l="1"/>
  <c r="C36" i="1"/>
  <c r="C37" i="1"/>
  <c r="C38" i="1"/>
  <c r="C39" i="1"/>
  <c r="C40" i="1"/>
  <c r="C41" i="1"/>
  <c r="C42" i="1"/>
  <c r="C43" i="1"/>
  <c r="C44" i="1"/>
  <c r="C34" i="1"/>
  <c r="C21" i="1"/>
  <c r="C20" i="1"/>
  <c r="J5" i="1"/>
  <c r="J6" i="1"/>
  <c r="J7" i="1"/>
  <c r="J8" i="1"/>
  <c r="J9" i="1"/>
  <c r="J10" i="1"/>
  <c r="J4" i="1"/>
  <c r="B48" i="1" l="1"/>
  <c r="L4" i="1" a="1"/>
  <c r="L4"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96FBFA-F396-4FBA-9406-1DAA9E6A775B}" keepAlive="1" name="Query - Customer Suport Report" description="Connection to the 'Customer Suport Report' query in the workbook." type="5" refreshedVersion="8" background="1" saveData="1">
    <dbPr connection="Provider=Microsoft.Mashup.OleDb.1;Data Source=$Workbook$;Location=&quot;Customer Suport Report&quot;;Extended Properties=&quot;&quot;" command="SELECT * FROM [Customer Suport Report]"/>
  </connection>
  <connection id="2" xr16:uid="{1429E207-968B-43E5-8134-135E002997B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 xr16:uid="{738BCE6F-3CB1-4E14-933C-E4A3442081B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 xr16:uid="{7BABE06F-5583-477B-8503-E8C74F9918EE}"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 xr16:uid="{91CC9701-F49C-480E-9EE4-AC0CF87343C9}"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<sst xmlns="http://schemas.openxmlformats.org/spreadsheetml/2006/main" count="871" uniqueCount="137">
  <si>
    <t>Date of Ticket</t>
  </si>
  <si>
    <t>Support Agent</t>
  </si>
  <si>
    <t>Issue Type</t>
  </si>
  <si>
    <t>Ticket Status</t>
  </si>
  <si>
    <t>Customer Name</t>
  </si>
  <si>
    <t>Customer Email</t>
  </si>
  <si>
    <t>Priority</t>
  </si>
  <si>
    <t>Resolution Time (hrs)</t>
  </si>
  <si>
    <t>Customer Satisfaction</t>
  </si>
  <si>
    <t>Channel</t>
  </si>
  <si>
    <t>Reopened Tickets</t>
  </si>
  <si>
    <t>Assigned Department</t>
  </si>
  <si>
    <t>Resolution Type</t>
  </si>
  <si>
    <t>Follow-up Required</t>
  </si>
  <si>
    <t>First Response Time (hrs)</t>
  </si>
  <si>
    <t>Ticket Source</t>
  </si>
  <si>
    <t>Sarah David</t>
  </si>
  <si>
    <t>Billing</t>
  </si>
  <si>
    <t>Closed</t>
  </si>
  <si>
    <t>Alpha Corp</t>
  </si>
  <si>
    <t>support@alphacorp.com</t>
  </si>
  <si>
    <t>High</t>
  </si>
  <si>
    <t>Email</t>
  </si>
  <si>
    <t>No</t>
  </si>
  <si>
    <t>Issue Fixed</t>
  </si>
  <si>
    <t>Reactive</t>
  </si>
  <si>
    <t>Chisom Mark</t>
  </si>
  <si>
    <t>Technical</t>
  </si>
  <si>
    <t>Open</t>
  </si>
  <si>
    <t>Beta Solutions</t>
  </si>
  <si>
    <t>help@betasolutions.co.uk</t>
  </si>
  <si>
    <t>Medium</t>
  </si>
  <si>
    <t>N/A</t>
  </si>
  <si>
    <t>Phone</t>
  </si>
  <si>
    <t>Technical Support</t>
  </si>
  <si>
    <t>Yes</t>
  </si>
  <si>
    <t>Henry Clark</t>
  </si>
  <si>
    <t>Account</t>
  </si>
  <si>
    <t>Gamma Systems</t>
  </si>
  <si>
    <t>info@gammasystems.com</t>
  </si>
  <si>
    <t>Low</t>
  </si>
  <si>
    <t>Chat</t>
  </si>
  <si>
    <t>Account Management</t>
  </si>
  <si>
    <t>Account Updated</t>
  </si>
  <si>
    <t>Bimbo Akin</t>
  </si>
  <si>
    <t>Delta Tech</t>
  </si>
  <si>
    <t>contact@deltatech.com</t>
  </si>
  <si>
    <t>Critical</t>
  </si>
  <si>
    <t>Web</t>
  </si>
  <si>
    <t>Proactive</t>
  </si>
  <si>
    <t>In Progress</t>
  </si>
  <si>
    <t>Epsilon Inno</t>
  </si>
  <si>
    <t>support@epsiloninno.co.uk</t>
  </si>
  <si>
    <t>Zeta Corp</t>
  </si>
  <si>
    <t>hello@zetacorp.com</t>
  </si>
  <si>
    <t>Theta Enterprises</t>
  </si>
  <si>
    <t>contact@thetaent.com</t>
  </si>
  <si>
    <t>Iota Systems</t>
  </si>
  <si>
    <t>info@iotasystems.com</t>
  </si>
  <si>
    <t>Kappa Technologies</t>
  </si>
  <si>
    <t>support@kappatech.com</t>
  </si>
  <si>
    <t>Joseph McBride</t>
  </si>
  <si>
    <t>Lambda Corp</t>
  </si>
  <si>
    <t>contact@lambdacorp.com</t>
  </si>
  <si>
    <t>Mu Enterprises</t>
  </si>
  <si>
    <t>info@muenterprises.com</t>
  </si>
  <si>
    <t>Nu Systems</t>
  </si>
  <si>
    <t>support@nusystems.com</t>
  </si>
  <si>
    <t>Xi Corp</t>
  </si>
  <si>
    <t>help@xicorp.co.uk</t>
  </si>
  <si>
    <t>Omicron Solutions</t>
  </si>
  <si>
    <t>contact@omicronsolutions.com</t>
  </si>
  <si>
    <t>Pi Technologies</t>
  </si>
  <si>
    <t>support@pitech.co.uk</t>
  </si>
  <si>
    <t>Rho Enterprises</t>
  </si>
  <si>
    <t>support@rhoenterprises.com</t>
  </si>
  <si>
    <t>Sigma Systems</t>
  </si>
  <si>
    <t>help@sigmasystems.com</t>
  </si>
  <si>
    <t>Tau Tech</t>
  </si>
  <si>
    <t>support@tautech.com</t>
  </si>
  <si>
    <t>Upsilon Corp</t>
  </si>
  <si>
    <t>contact@upsiloncorp.com</t>
  </si>
  <si>
    <t>Phi Enterprises</t>
  </si>
  <si>
    <t>support@phienterprises.com</t>
  </si>
  <si>
    <t>Omega Solutions</t>
  </si>
  <si>
    <t>support@omegasolutions.com</t>
  </si>
  <si>
    <t>support@lambdacorp.com</t>
  </si>
  <si>
    <t>Beta Enterprises</t>
  </si>
  <si>
    <t>info@betaenterprises.co.uk</t>
  </si>
  <si>
    <t>help@gammasystems.com</t>
  </si>
  <si>
    <t>support@epsiloninno.com</t>
  </si>
  <si>
    <t>support@thetaent.com</t>
  </si>
  <si>
    <t>help@muenterprises.com</t>
  </si>
  <si>
    <t>Xi Systems</t>
  </si>
  <si>
    <t>support@xisystems.co.uk</t>
  </si>
  <si>
    <t>Jul</t>
  </si>
  <si>
    <t>Aug</t>
  </si>
  <si>
    <t>Sep</t>
  </si>
  <si>
    <t>First Response Time</t>
  </si>
  <si>
    <t>Resolution Time</t>
  </si>
  <si>
    <t>Priority Level</t>
  </si>
  <si>
    <t>Customer satisfaction</t>
  </si>
  <si>
    <t>Number of Tickets</t>
  </si>
  <si>
    <t>Total Tickets</t>
  </si>
  <si>
    <t>*</t>
  </si>
  <si>
    <t>Total Score</t>
  </si>
  <si>
    <t>Average rating</t>
  </si>
  <si>
    <t>Ticket ID</t>
  </si>
  <si>
    <t xml:space="preserve"> </t>
  </si>
  <si>
    <t/>
  </si>
  <si>
    <t xml:space="preserve">  </t>
  </si>
  <si>
    <t>AVG Resolution Time</t>
  </si>
  <si>
    <t>Email Address</t>
  </si>
  <si>
    <t>Subject</t>
  </si>
  <si>
    <t>Message</t>
  </si>
  <si>
    <t>Status</t>
  </si>
  <si>
    <t>Customer Support Weekly Report</t>
  </si>
  <si>
    <t>jeff@cloudfusion.com</t>
  </si>
  <si>
    <t>mary@cloudfusion.com</t>
  </si>
  <si>
    <t>john@cloudfusion.com</t>
  </si>
  <si>
    <t>alex@cloudfusion.com</t>
  </si>
  <si>
    <t>sarah@cloudfusion.com</t>
  </si>
  <si>
    <t>michael@cloudfusion.com</t>
  </si>
  <si>
    <t>laura@cloudfusion.com</t>
  </si>
  <si>
    <t>chris@cloudfusion.com</t>
  </si>
  <si>
    <t>anna@cloudfusion.com</t>
  </si>
  <si>
    <t>robert@cloudfusion.com</t>
  </si>
  <si>
    <t>Hello Jeff, 
Kindly find attached the updated customer support report for the Elevate Campaign. 
Warm regards, 
Rosemary</t>
  </si>
  <si>
    <t>Hello Mary, 
Kindly find attached the updated customer support report for the Elevate Campaign. 
Warm regards, 
Rosemary</t>
  </si>
  <si>
    <t>Hello John, 
Kindly find attached the updated customer support report for the Elevate Campaign. 
Warm regards, 
Rosemary</t>
  </si>
  <si>
    <t>Hello Alex, 
Kindly find attached the updated customer support report for the Elevate Campaign. 
Warm regards, 
Rosemary</t>
  </si>
  <si>
    <t>Hello Sarah, 
Kindly find attached the updated customer support report for the Elevate Campaign. 
Warm regards, 
Rosemary</t>
  </si>
  <si>
    <t>Hello Michael, 
Kindly find attached the updated customer support report for the Elevate Campaign. 
Warm regards, 
Rosemary</t>
  </si>
  <si>
    <t>Hello Laura, 
Kindly find attached the updated customer support report for the Elevate Campaign. 
Warm regards, 
Rosemary</t>
  </si>
  <si>
    <t>Hello Chris, 
Kindly find attached the updated customer support report for the Elevate Campaign. 
Warm regards, 
Rosemary</t>
  </si>
  <si>
    <t>Hello Anna, 
Kindly find attached the updated customer support report for the Elevate Campaign. 
Warm regards, 
Rosemary</t>
  </si>
  <si>
    <t>Hello Robert, 
Kindly find attached the updated customer support report for the Elevate Campaign. 
Warm regards, 
Rosemary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</si>
</sst>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4" x14ac:knownFonts="1">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s>
  <fills count="5">
    <fill>
      <patternFill patternType="none"/>
    </fill>
    <fill>
      <patternFill patternType="gray125"/>
    </fill>
    <fill>
      <patternFill patternType="solid">
        <fgColor theme="4" tint="0.79998168889431442"/>
        <bgColor theme="4" tint="0.79998168889431442"/>
      </patternFill>
    </fill>
    <fill>
      <patternFill patternType="solid">
        <fgColor rgb="FFD9D9D9"/>
        <bgColor indexed="64"/>
      </patternFill>
    </fill>
    <fill>
      <patternFill patternType="solid">
        <fgColor theme="2" tint="-0.249977111117893"/>
        <bgColor indexed="64"/>
      </patternFill>
    </fill>
  </fills>
  <borders count="3">
    <border>
      <left/>
      <right/>
      <top/>
      <bottom/>
      <diagonal/>
    </border>
    <border>
      <left/>
      <right/>
      <top/>
      <bottom style="thin">
        <color theme="4" tint="0.39997558519241921"/>
      </bottom>
      <diagonal/>
    </border>
    <border>
      <left/>
      <right/>
      <top style="thin">
        <color indexed="64"/>
      </top>
      <bottom style="medium">
        <color indexed="64"/>
      </bottom>
      <diagonal/>
    </border>
  </borders>
  <cellStyleXfs count="3">
    <xf numFmtId="0" fontId="0" fillId="0" borderId="0"/>
    <xf numFmtId="9" fontId="1" fillId="0" borderId="0" applyFont="0" applyFill="0" applyBorder="0" applyAlignment="0" applyProtection="0"/>
    <xf numFmtId="0" fontId="3" fillId="0" borderId="0" applyNumberFormat="0" applyFill="0" applyBorder="0" applyAlignment="0" applyProtection="0"/>
  </cellStyleXfs>
  <cellXfs count="16">
    <xf numFmtId="0" fontId="0" fillId="0" borderId="0" xfId="0"/>
    <xf numFmtId="14" fontId="0" fillId="0" borderId="0" xfId="0" applyNumberFormat="1"/>
    <xf numFmtId="0" fontId="0" fillId="0" borderId="0" xfId="0" pivotButton="1"/>
    <xf numFmtId="0" fontId="0" fillId="0" borderId="0" xfId="0" applyAlignment="1">
      <alignment horizontal="left"/>
    </xf>
    <xf numFmtId="0" fontId="2" fillId="2" borderId="1" xfId="0" applyFont="1" applyFill="1" applyBorder="1"/>
    <xf numFmtId="164" fontId="0" fillId="0" borderId="0" xfId="0" applyNumberFormat="1"/>
    <xf numFmtId="0" fontId="0" fillId="3" borderId="0" xfId="0" applyFill="1"/>
    <xf numFmtId="10" fontId="0" fillId="0" borderId="0" xfId="0" applyNumberFormat="1"/>
    <xf numFmtId="9" fontId="0" fillId="0" borderId="0" xfId="1" applyFont="1"/>
    <xf numFmtId="0" fontId="0" fillId="0" borderId="2" xfId="0" applyBorder="1"/>
    <xf numFmtId="0" fontId="3" fillId="0" borderId="0" xfId="2"/>
    <xf numFmtId="0" fontId="0" fillId="0" borderId="0" xfId="0" applyAlignment="1">
      <alignment wrapText="1"/>
    </xf>
    <xf numFmtId="0" fontId="2" fillId="4" borderId="0" xfId="0" applyFont="1" applyFill="1"/>
    <xf numFmtId="0" fontId="2" fillId="0" borderId="0" xfId="0" applyFont="1"/>
    <xf numFmtId="1" fontId="0" fillId="0" borderId="2" xfId="0" applyNumberFormat="1" applyBorder="1"/>
    <xf numFmtId="0" fontId="0" fillId="0" borderId="0" xfId="0" applyNumberFormat="1"/>
  </cellXfs>
  <cellStyles count="3">
    <cellStyle name="Hyperlink" xfId="2" builtinId="8"/>
    <cellStyle name="Normal" xfId="0" builtinId="0"/>
    <cellStyle name="Percent" xfId="1" builtinId="5"/>
  </cellStyles>
  <dxfs count="21">
    <dxf>
      <alignment horizontal="general" vertical="bottom"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0.249977111117893"/>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font>
        <b val="0"/>
        <i val="0"/>
        <sz val="10"/>
        <color theme="0"/>
        <name val="Calibri Light"/>
        <family val="2"/>
        <scheme val="major"/>
      </font>
      <border diagonalUp="0" diagonalDown="0">
        <left/>
        <right/>
        <top/>
        <bottom/>
        <vertical/>
        <horizontal/>
      </border>
    </dxf>
    <dxf>
      <font>
        <sz val="9"/>
      </font>
      <fill>
        <patternFill patternType="solid">
          <fgColor theme="0"/>
          <bgColor rgb="FF0388A6"/>
        </patternFill>
      </fill>
      <border diagonalUp="0" diagonalDown="0">
        <left/>
        <right/>
        <top/>
        <bottom/>
        <vertical/>
        <horizontal/>
      </border>
    </dxf>
    <dxf>
      <font>
        <b/>
        <color theme="1"/>
      </font>
      <border>
        <bottom style="thin">
          <color theme="4"/>
        </bottom>
        <vertical/>
        <horizontal/>
      </border>
    </dxf>
    <dxf>
      <font>
        <color theme="0"/>
      </font>
      <fill>
        <patternFill patternType="none">
          <bgColor auto="1"/>
        </patternFill>
      </fill>
      <border diagonalUp="0" diagonalDown="0">
        <left/>
        <right/>
        <top/>
        <bottom/>
        <vertical/>
        <horizontal/>
      </border>
    </dxf>
    <dxf>
      <font>
        <color theme="0"/>
      </font>
      <fill>
        <patternFill patternType="none">
          <fgColor indexed="64"/>
          <bgColor auto="1"/>
        </patternFill>
      </fill>
      <border diagonalUp="0" diagonalDown="0">
        <left/>
        <right/>
        <top/>
        <bottom/>
        <vertical/>
        <horizontal/>
      </border>
    </dxf>
    <dxf>
      <font>
        <color theme="0"/>
      </font>
      <fill>
        <patternFill patternType="solid">
          <fgColor rgb="FF0388A6"/>
          <bgColor rgb="FF0388A6"/>
        </patternFill>
      </fill>
      <border diagonalUp="0" diagonalDown="0">
        <left/>
        <right/>
        <top/>
        <bottom/>
        <vertical/>
        <horizontal/>
      </border>
    </dxf>
  </dxfs>
  <tableStyles count="3" defaultTableStyle="TableStyleMedium2" defaultPivotStyle="PivotStyleLight16">
    <tableStyle name="Second" pivot="0" table="0" count="4" xr9:uid="{0B50E430-041B-48A6-8F42-CED3C27E0720}">
      <tableStyleElement type="wholeTable" dxfId="20"/>
      <tableStyleElement type="headerRow" dxfId="19"/>
    </tableStyle>
    <tableStyle name="SlicerStyleLight1 2" pivot="0" table="0" count="10" xr9:uid="{3884ACEA-7B5A-4F49-90BB-6A683E9D4CAD}">
      <tableStyleElement type="wholeTable" dxfId="18"/>
      <tableStyleElement type="headerRow" dxfId="17"/>
    </tableStyle>
    <tableStyle name="Trial" pivot="0" table="0" count="8" xr9:uid="{C512A73B-3C2A-4CB8-9382-D59C099EB487}">
      <tableStyleElement type="wholeTable" dxfId="16"/>
      <tableStyleElement type="headerRow" dxfId="15"/>
    </tableStyle>
  </tableStyles>
  <colors>
    <mruColors>
      <color rgb="FF0388A6"/>
      <color rgb="FFC9C9C9"/>
      <color rgb="FF6BE1FD"/>
      <color rgb="FF7FE5FD"/>
      <color rgb="FFBEF2FE"/>
      <color rgb="FFD3D3D3"/>
      <color rgb="FFF29494"/>
      <color rgb="FF0499BC"/>
      <color rgb="FF37D6FB"/>
      <color rgb="FFD9D9D9"/>
    </mruColors>
  </colors>
  <extLst>
    <ext xmlns:x14="http://schemas.microsoft.com/office/spreadsheetml/2009/9/main" uri="{46F421CA-312F-682f-3DD2-61675219B42D}">
      <x14:dxfs count="10">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border>
            <left style="thin">
              <color auto="1"/>
            </left>
            <right style="thin">
              <color auto="1"/>
            </right>
            <top style="thin">
              <color auto="1"/>
            </top>
            <bottom style="thin">
              <color auto="1"/>
            </bottom>
          </border>
        </dxf>
        <dxf>
          <font>
            <strike/>
          </font>
        </dxf>
      </x14:dxfs>
    </ext>
    <ext xmlns:x14="http://schemas.microsoft.com/office/spreadsheetml/2009/9/main" uri="{EB79DEF2-80B8-43e5-95BD-54CBDDF9020C}">
      <x14:slicerStyles defaultSlicerStyle="SlicerStyleLight1">
        <x14:slicerStyle name="Second">
          <x14:slicerStyleElements>
            <x14:slicerStyleElement type="unselectedItemWithData" dxfId="9"/>
            <x14:slicerStyleElement type="hoveredSelectedItemWith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0"/>
            <name val="Calibri"/>
            <family val="2"/>
            <scheme val="minor"/>
          </font>
        </dxf>
        <dxf>
          <font>
            <sz val="9"/>
            <color theme="0"/>
            <name val="Calibri"/>
            <family val="2"/>
            <scheme val="minor"/>
          </font>
        </dxf>
        <dxf>
          <font>
            <sz val="9"/>
            <color theme="0"/>
            <name val="Calibri"/>
            <family val="2"/>
            <scheme val="minor"/>
          </font>
        </dxf>
        <dxf>
          <font>
            <sz val="8"/>
            <color theme="0"/>
            <name val="Calibri"/>
            <family val="2"/>
            <scheme val="minor"/>
          </font>
        </dxf>
      </x15:dxfs>
    </ext>
    <ext xmlns:x15="http://schemas.microsoft.com/office/spreadsheetml/2010/11/main" uri="{9260A510-F301-46a8-8635-F512D64BE5F5}">
      <x15:timelineStyles defaultTimelineStyle="Trial">
        <x15:timelineStyle name="Trial">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11/relationships/timelineCache" Target="timelineCaches/timelineCache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[Automation Project.xlsm]KPIs!PivotTable2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Tickets by Priority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388A6"/>
          </a:solidFill>
          <a:ln w="66675">
            <a:solidFill>
              <a:srgbClr val="0388A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388A6"/>
          </a:solidFill>
          <a:ln w="50800">
            <a:solidFill>
              <a:srgbClr val="0388A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KPIs!$B$10</c:f>
              <c:strCache>
                <c:ptCount val="1"/>
                <c:pt idx="0">
                  <c:v>Total</c:v>
                </c:pt>
              </c:strCache>
            </c:strRef>
          </c:tx>
          <c:spPr>
            <a:solidFill>
              <a:srgbClr val="0388A6"/>
            </a:solidFill>
            <a:ln w="50800">
              <a:solidFill>
                <a:srgbClr val="0388A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KPIs!$A$11:$A$14</c:f>
              <c:strCache>
                <c:ptCount val="4"/>
                <c:pt idx="0">
                  <c:v>High</c:v>
                </c:pt>
                <c:pt idx="1">
                  <c:v>Medium</c:v>
                </c:pt>
                <c:pt idx="2">
                  <c:v>Low</c:v>
                </c:pt>
                <c:pt idx="3">
                  <c:v>Critical</c:v>
                </c:pt>
              </c:strCache>
            </c:strRef>
          </c:cat>
          <c:val>
            <c:numRef>
              <c:f>KPIs!$B$11:$B$14</c:f>
              <c:numCache>
                <c:formatCode>General</c:formatCode>
                <c:ptCount val="4"/>
                <c:pt idx="0">
                  <c:v>18</c:v>
                </c:pt>
                <c:pt idx="1">
                  <c:v>15</c:v>
                </c:pt>
                <c:pt idx="2">
                  <c:v>14</c:v>
                </c:pt>
                <c:pt idx="3">
                  <c:v>12</c:v>
                </c:pt>
              </c:numCache>
            </c:numRef>
          </c:val>
          <c:extLst>
            <c:ext xmlns:c16="http://schemas.microsoft.com/office/drawing/2014/chart" uri="{C3380CC4-5D6E-409C-BE32-E72D297353CC}">
              <c16:uniqueId val="{00000001-5DAB-420E-9450-04CFE3B0AC96}"/>
            </c:ext>
          </c:extLst>
        </c:ser>
        <c:dLbls>
          <c:dLblPos val="outEnd"/>
          <c:showLegendKey val="0"/>
          <c:showVal val="1"/>
          <c:showCatName val="0"/>
          <c:showSerName val="0"/>
          <c:showPercent val="0"/>
          <c:showBubbleSize val="0"/>
        </c:dLbls>
        <c:gapWidth val="182"/>
        <c:axId val="867541663"/>
        <c:axId val="867544063"/>
      </c:barChart>
      <c:catAx>
        <c:axId val="86754166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7544063"/>
        <c:crosses val="autoZero"/>
        <c:auto val="1"/>
        <c:lblAlgn val="ctr"/>
        <c:lblOffset val="100"/>
        <c:noMultiLvlLbl val="0"/>
      </c:catAx>
      <c:valAx>
        <c:axId val="867544063"/>
        <c:scaling>
          <c:orientation val="minMax"/>
        </c:scaling>
        <c:delete val="1"/>
        <c:axPos val="t"/>
        <c:numFmt formatCode="General" sourceLinked="1"/>
        <c:majorTickMark val="none"/>
        <c:minorTickMark val="none"/>
        <c:tickLblPos val="nextTo"/>
        <c:crossAx val="8675416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[Automation Project.xlsm]KPIs!PivotTable3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Tickets</a:t>
            </a:r>
            <a:r>
              <a:rPr lang="en-US" baseline="0"/>
              <a:t> by Issue Type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388A6"/>
          </a:solidFill>
          <a:ln w="66675">
            <a:solidFill>
              <a:srgbClr val="0388A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388A6"/>
          </a:solidFill>
          <a:ln w="50800">
            <a:solidFill>
              <a:srgbClr val="0388A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KPIs!$F$3</c:f>
              <c:strCache>
                <c:ptCount val="1"/>
                <c:pt idx="0">
                  <c:v>Total</c:v>
                </c:pt>
              </c:strCache>
            </c:strRef>
          </c:tx>
          <c:spPr>
            <a:solidFill>
              <a:srgbClr val="0388A6"/>
            </a:solidFill>
            <a:ln w="50800">
              <a:solidFill>
                <a:srgbClr val="0388A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KPIs!$E$4:$E$6</c:f>
              <c:strCache>
                <c:ptCount val="3"/>
                <c:pt idx="0">
                  <c:v>Technical</c:v>
                </c:pt>
                <c:pt idx="1">
                  <c:v>Billing</c:v>
                </c:pt>
                <c:pt idx="2">
                  <c:v>Account</c:v>
                </c:pt>
              </c:strCache>
            </c:strRef>
          </c:cat>
          <c:val>
            <c:numRef>
              <c:f>KPIs!$F$4:$F$6</c:f>
              <c:numCache>
                <c:formatCode>General</c:formatCode>
                <c:ptCount val="3"/>
                <c:pt idx="0">
                  <c:v>20</c:v>
                </c:pt>
                <c:pt idx="1">
                  <c:v>20</c:v>
                </c:pt>
                <c:pt idx="2">
                  <c:v>19</c:v>
                </c:pt>
              </c:numCache>
            </c:numRef>
          </c:val>
          <c:extLst>
            <c:ext xmlns:c16="http://schemas.microsoft.com/office/drawing/2014/chart" uri="{C3380CC4-5D6E-409C-BE32-E72D297353CC}">
              <c16:uniqueId val="{00000001-72BC-423E-A889-A599ADD70172}"/>
            </c:ext>
          </c:extLst>
        </c:ser>
        <c:dLbls>
          <c:dLblPos val="outEnd"/>
          <c:showLegendKey val="0"/>
          <c:showVal val="1"/>
          <c:showCatName val="0"/>
          <c:showSerName val="0"/>
          <c:showPercent val="0"/>
          <c:showBubbleSize val="0"/>
        </c:dLbls>
        <c:gapWidth val="182"/>
        <c:axId val="328558127"/>
        <c:axId val="328557167"/>
      </c:barChart>
      <c:catAx>
        <c:axId val="328558127"/>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8557167"/>
        <c:crosses val="autoZero"/>
        <c:auto val="1"/>
        <c:lblAlgn val="ctr"/>
        <c:lblOffset val="100"/>
        <c:noMultiLvlLbl val="0"/>
      </c:catAx>
      <c:valAx>
        <c:axId val="328557167"/>
        <c:scaling>
          <c:orientation val="minMax"/>
        </c:scaling>
        <c:delete val="1"/>
        <c:axPos val="t"/>
        <c:numFmt formatCode="General" sourceLinked="1"/>
        <c:majorTickMark val="none"/>
        <c:minorTickMark val="none"/>
        <c:tickLblPos val="nextTo"/>
        <c:crossAx val="328558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[Automation Project.xlsm]KPIs!PivotTable6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Tickets</a:t>
            </a:r>
            <a:r>
              <a:rPr lang="en-US" baseline="0"/>
              <a:t> by Channel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388A6"/>
          </a:solidFill>
          <a:ln w="50800">
            <a:solidFill>
              <a:srgbClr val="0388A6"/>
            </a:solidFill>
          </a:ln>
          <a:effectLst>
            <a:glow>
              <a:schemeClr val="accent1">
                <a:alpha val="40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KPIs!$F$12</c:f>
              <c:strCache>
                <c:ptCount val="1"/>
                <c:pt idx="0">
                  <c:v>Total</c:v>
                </c:pt>
              </c:strCache>
            </c:strRef>
          </c:tx>
          <c:spPr>
            <a:solidFill>
              <a:srgbClr val="0388A6"/>
            </a:solidFill>
            <a:ln w="50800">
              <a:solidFill>
                <a:srgbClr val="0388A6"/>
              </a:solidFill>
            </a:ln>
            <a:effectLst>
              <a:glow>
                <a:schemeClr val="accent1">
                  <a:alpha val="40000"/>
                </a:schemeClr>
              </a:glow>
            </a:effectLst>
          </c:spPr>
          <c:invertIfNegative val="0"/>
          <c:cat>
            <c:strRef>
              <c:f>KPIs!$E$13:$E$16</c:f>
              <c:strCache>
                <c:ptCount val="4"/>
                <c:pt idx="0">
                  <c:v>Phone</c:v>
                </c:pt>
                <c:pt idx="1">
                  <c:v>Email</c:v>
                </c:pt>
                <c:pt idx="2">
                  <c:v>Chat</c:v>
                </c:pt>
                <c:pt idx="3">
                  <c:v>Web</c:v>
                </c:pt>
              </c:strCache>
            </c:strRef>
          </c:cat>
          <c:val>
            <c:numRef>
              <c:f>KPIs!$F$13:$F$16</c:f>
              <c:numCache>
                <c:formatCode>General</c:formatCode>
                <c:ptCount val="4"/>
                <c:pt idx="0">
                  <c:v>18</c:v>
                </c:pt>
                <c:pt idx="1">
                  <c:v>16</c:v>
                </c:pt>
                <c:pt idx="2">
                  <c:v>13</c:v>
                </c:pt>
                <c:pt idx="3">
                  <c:v>12</c:v>
                </c:pt>
              </c:numCache>
            </c:numRef>
          </c:val>
          <c:extLst>
            <c:ext xmlns:c16="http://schemas.microsoft.com/office/drawing/2014/chart" uri="{C3380CC4-5D6E-409C-BE32-E72D297353CC}">
              <c16:uniqueId val="{00000000-A257-4EE8-A012-0822B9B44579}"/>
            </c:ext>
          </c:extLst>
        </c:ser>
        <c:dLbls>
          <c:showLegendKey val="0"/>
          <c:showVal val="0"/>
          <c:showCatName val="0"/>
          <c:showSerName val="0"/>
          <c:showPercent val="0"/>
          <c:showBubbleSize val="0"/>
        </c:dLbls>
        <c:gapWidth val="182"/>
        <c:axId val="899360895"/>
        <c:axId val="899359935"/>
      </c:barChart>
      <c:catAx>
        <c:axId val="89936089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9359935"/>
        <c:crosses val="autoZero"/>
        <c:auto val="1"/>
        <c:lblAlgn val="ctr"/>
        <c:lblOffset val="100"/>
        <c:noMultiLvlLbl val="0"/>
      </c:catAx>
      <c:valAx>
        <c:axId val="899359935"/>
        <c:scaling>
          <c:orientation val="minMax"/>
        </c:scaling>
        <c:delete val="1"/>
        <c:axPos val="t"/>
        <c:numFmt formatCode="General" sourceLinked="1"/>
        <c:majorTickMark val="none"/>
        <c:minorTickMark val="none"/>
        <c:tickLblPos val="nextTo"/>
        <c:crossAx val="8993608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 of Reopened Tickets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0504404509304461"/>
          <c:y val="0.26705322993789254"/>
          <c:w val="0.43239156035837867"/>
          <c:h val="0.73113530299308749"/>
        </c:manualLayout>
      </c:layout>
      <c:doughnutChart>
        <c:varyColors val="1"/>
        <c:ser>
          <c:idx val="0"/>
          <c:order val="0"/>
          <c:spPr>
            <a:ln w="0"/>
          </c:spPr>
          <c:dPt>
            <c:idx val="0"/>
            <c:bubble3D val="0"/>
            <c:spPr>
              <a:solidFill>
                <a:srgbClr val="D9D9D9"/>
              </a:solidFill>
              <a:ln w="0">
                <a:solidFill>
                  <a:schemeClr val="lt1"/>
                </a:solidFill>
              </a:ln>
              <a:effectLst/>
            </c:spPr>
            <c:extLst>
              <c:ext xmlns:c16="http://schemas.microsoft.com/office/drawing/2014/chart" uri="{C3380CC4-5D6E-409C-BE32-E72D297353CC}">
                <c16:uniqueId val="{00000001-66F1-4127-AAC3-73C7230B1983}"/>
              </c:ext>
            </c:extLst>
          </c:dPt>
          <c:dPt>
            <c:idx val="1"/>
            <c:bubble3D val="0"/>
            <c:spPr>
              <a:solidFill>
                <a:srgbClr val="0388A6"/>
              </a:solidFill>
              <a:ln w="0">
                <a:noFill/>
              </a:ln>
              <a:effectLst/>
            </c:spPr>
            <c:extLst>
              <c:ext xmlns:c16="http://schemas.microsoft.com/office/drawing/2014/chart" uri="{C3380CC4-5D6E-409C-BE32-E72D297353CC}">
                <c16:uniqueId val="{00000003-66F1-4127-AAC3-73C7230B1983}"/>
              </c:ext>
            </c:extLst>
          </c:dPt>
          <c:val>
            <c:numRef>
              <c:f>KPIs!$C$20:$C$21</c:f>
              <c:numCache>
                <c:formatCode>0%</c:formatCode>
                <c:ptCount val="2"/>
                <c:pt idx="0">
                  <c:v>0.71186440677966101</c:v>
                </c:pt>
                <c:pt idx="1">
                  <c:v>0.28813559322033899</c:v>
                </c:pt>
              </c:numCache>
            </c:numRef>
          </c:val>
          <c:extLst>
            <c:ext xmlns:c16="http://schemas.microsoft.com/office/drawing/2014/chart" uri="{C3380CC4-5D6E-409C-BE32-E72D297353CC}">
              <c16:uniqueId val="{00000004-66F1-4127-AAC3-73C7230B1983}"/>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[Automation Project.xlsm]KPIs!PivotTable15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Ticket</a:t>
            </a:r>
            <a:r>
              <a:rPr lang="en-US" baseline="0"/>
              <a:t> Monthly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0388A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KPIs!$F$41</c:f>
              <c:strCache>
                <c:ptCount val="1"/>
                <c:pt idx="0">
                  <c:v>Total</c:v>
                </c:pt>
              </c:strCache>
            </c:strRef>
          </c:tx>
          <c:spPr>
            <a:ln w="28575" cap="rnd">
              <a:solidFill>
                <a:srgbClr val="0388A6"/>
              </a:solidFill>
              <a:round/>
            </a:ln>
            <a:effectLst/>
          </c:spPr>
          <c:marker>
            <c:symbol val="none"/>
          </c:marker>
          <c:cat>
            <c:strRef>
              <c:f>KPIs!$E$42:$E$44</c:f>
              <c:strCache>
                <c:ptCount val="3"/>
                <c:pt idx="0">
                  <c:v>Jul</c:v>
                </c:pt>
                <c:pt idx="1">
                  <c:v>Aug</c:v>
                </c:pt>
                <c:pt idx="2">
                  <c:v>Sep</c:v>
                </c:pt>
              </c:strCache>
            </c:strRef>
          </c:cat>
          <c:val>
            <c:numRef>
              <c:f>KPIs!$F$42:$F$44</c:f>
              <c:numCache>
                <c:formatCode>General</c:formatCode>
                <c:ptCount val="3"/>
                <c:pt idx="0">
                  <c:v>21</c:v>
                </c:pt>
                <c:pt idx="1">
                  <c:v>23</c:v>
                </c:pt>
                <c:pt idx="2">
                  <c:v>15</c:v>
                </c:pt>
              </c:numCache>
            </c:numRef>
          </c:val>
          <c:smooth val="0"/>
          <c:extLst>
            <c:ext xmlns:c16="http://schemas.microsoft.com/office/drawing/2014/chart" uri="{C3380CC4-5D6E-409C-BE32-E72D297353CC}">
              <c16:uniqueId val="{00000000-37AC-456F-A83F-DFB2B3CDB853}"/>
            </c:ext>
          </c:extLst>
        </c:ser>
        <c:dLbls>
          <c:showLegendKey val="0"/>
          <c:showVal val="0"/>
          <c:showCatName val="0"/>
          <c:showSerName val="0"/>
          <c:showPercent val="0"/>
          <c:showBubbleSize val="0"/>
        </c:dLbls>
        <c:smooth val="0"/>
        <c:axId val="861082047"/>
        <c:axId val="861083007"/>
      </c:lineChart>
      <c:catAx>
        <c:axId val="8610820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1083007"/>
        <c:crosses val="autoZero"/>
        <c:auto val="1"/>
        <c:lblAlgn val="ctr"/>
        <c:lblOffset val="100"/>
        <c:noMultiLvlLbl val="0"/>
      </c:catAx>
      <c:valAx>
        <c:axId val="861083007"/>
        <c:scaling>
          <c:orientation val="minMax"/>
          <c:min val="5"/>
        </c:scaling>
        <c:delete val="1"/>
        <c:axPos val="l"/>
        <c:numFmt formatCode="General" sourceLinked="1"/>
        <c:majorTickMark val="none"/>
        <c:minorTickMark val="none"/>
        <c:tickLblPos val="nextTo"/>
        <c:crossAx val="861082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[Automation Project.xlsm]KPIs!PivotTable4</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400" b="0" i="0" u="none" strike="noStrike" baseline="0"/>
              <a:t>Customer Support Agent Performance by Ticket Status</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388A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388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bg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388A6">
              <a:alpha val="40000"/>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388A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0388A6"/>
          </a:solidFill>
          <a:ln w="50800">
            <a:solidFill>
              <a:srgbClr val="0388A6"/>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6BE1FD"/>
          </a:solidFill>
          <a:ln w="50800">
            <a:solidFill>
              <a:srgbClr val="6BE1FD"/>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C9C9C9"/>
          </a:solidFill>
          <a:ln w="53975">
            <a:solidFill>
              <a:srgbClr val="C9C9C9"/>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KPIs!$B$52:$B$53</c:f>
              <c:strCache>
                <c:ptCount val="1"/>
                <c:pt idx="0">
                  <c:v>Closed</c:v>
                </c:pt>
              </c:strCache>
            </c:strRef>
          </c:tx>
          <c:spPr>
            <a:solidFill>
              <a:srgbClr val="0388A6"/>
            </a:solidFill>
            <a:ln w="50800">
              <a:solidFill>
                <a:srgbClr val="0388A6"/>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KPIs!$A$54:$A$58</c:f>
              <c:strCache>
                <c:ptCount val="5"/>
                <c:pt idx="0">
                  <c:v>Sarah David</c:v>
                </c:pt>
                <c:pt idx="1">
                  <c:v>Chisom Mark</c:v>
                </c:pt>
                <c:pt idx="2">
                  <c:v>Joseph McBride</c:v>
                </c:pt>
                <c:pt idx="3">
                  <c:v>Bimbo Akin</c:v>
                </c:pt>
                <c:pt idx="4">
                  <c:v>Henry Clark</c:v>
                </c:pt>
              </c:strCache>
            </c:strRef>
          </c:cat>
          <c:val>
            <c:numRef>
              <c:f>KPIs!$B$54:$B$58</c:f>
              <c:numCache>
                <c:formatCode>General</c:formatCode>
                <c:ptCount val="5"/>
                <c:pt idx="0">
                  <c:v>11</c:v>
                </c:pt>
                <c:pt idx="1">
                  <c:v>9</c:v>
                </c:pt>
                <c:pt idx="2">
                  <c:v>4</c:v>
                </c:pt>
                <c:pt idx="3">
                  <c:v>8</c:v>
                </c:pt>
                <c:pt idx="4">
                  <c:v>10</c:v>
                </c:pt>
              </c:numCache>
            </c:numRef>
          </c:val>
          <c:extLst>
            <c:ext xmlns:c16="http://schemas.microsoft.com/office/drawing/2014/chart" uri="{C3380CC4-5D6E-409C-BE32-E72D297353CC}">
              <c16:uniqueId val="{00000000-15A1-498D-8C12-D6D4464BB9F5}"/>
            </c:ext>
          </c:extLst>
        </c:ser>
        <c:ser>
          <c:idx val="1"/>
          <c:order val="1"/>
          <c:tx>
            <c:strRef>
              <c:f>KPIs!$C$52:$C$53</c:f>
              <c:strCache>
                <c:ptCount val="1"/>
                <c:pt idx="0">
                  <c:v>In Progress</c:v>
                </c:pt>
              </c:strCache>
            </c:strRef>
          </c:tx>
          <c:spPr>
            <a:solidFill>
              <a:srgbClr val="6BE1FD"/>
            </a:solidFill>
            <a:ln w="50800">
              <a:solidFill>
                <a:srgbClr val="6BE1FD"/>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KPIs!$A$54:$A$58</c:f>
              <c:strCache>
                <c:ptCount val="5"/>
                <c:pt idx="0">
                  <c:v>Sarah David</c:v>
                </c:pt>
                <c:pt idx="1">
                  <c:v>Chisom Mark</c:v>
                </c:pt>
                <c:pt idx="2">
                  <c:v>Joseph McBride</c:v>
                </c:pt>
                <c:pt idx="3">
                  <c:v>Bimbo Akin</c:v>
                </c:pt>
                <c:pt idx="4">
                  <c:v>Henry Clark</c:v>
                </c:pt>
              </c:strCache>
            </c:strRef>
          </c:cat>
          <c:val>
            <c:numRef>
              <c:f>KPIs!$C$54:$C$58</c:f>
              <c:numCache>
                <c:formatCode>General</c:formatCode>
                <c:ptCount val="5"/>
                <c:pt idx="0">
                  <c:v>2</c:v>
                </c:pt>
                <c:pt idx="2">
                  <c:v>3</c:v>
                </c:pt>
                <c:pt idx="3">
                  <c:v>2</c:v>
                </c:pt>
              </c:numCache>
            </c:numRef>
          </c:val>
          <c:extLst>
            <c:ext xmlns:c16="http://schemas.microsoft.com/office/drawing/2014/chart" uri="{C3380CC4-5D6E-409C-BE32-E72D297353CC}">
              <c16:uniqueId val="{00000001-15A1-498D-8C12-D6D4464BB9F5}"/>
            </c:ext>
          </c:extLst>
        </c:ser>
        <c:ser>
          <c:idx val="2"/>
          <c:order val="2"/>
          <c:tx>
            <c:strRef>
              <c:f>KPIs!$D$52:$D$53</c:f>
              <c:strCache>
                <c:ptCount val="1"/>
                <c:pt idx="0">
                  <c:v>Open</c:v>
                </c:pt>
              </c:strCache>
            </c:strRef>
          </c:tx>
          <c:spPr>
            <a:solidFill>
              <a:srgbClr val="C9C9C9"/>
            </a:solidFill>
            <a:ln w="53975">
              <a:solidFill>
                <a:srgbClr val="C9C9C9"/>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Segoe UI" panose="020B0502040204020203" pitchFamily="34" charset="0"/>
                    <a:ea typeface="+mn-ea"/>
                    <a:cs typeface="Segoe UI" panose="020B0502040204020203"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KPIs!$A$54:$A$58</c:f>
              <c:strCache>
                <c:ptCount val="5"/>
                <c:pt idx="0">
                  <c:v>Sarah David</c:v>
                </c:pt>
                <c:pt idx="1">
                  <c:v>Chisom Mark</c:v>
                </c:pt>
                <c:pt idx="2">
                  <c:v>Joseph McBride</c:v>
                </c:pt>
                <c:pt idx="3">
                  <c:v>Bimbo Akin</c:v>
                </c:pt>
                <c:pt idx="4">
                  <c:v>Henry Clark</c:v>
                </c:pt>
              </c:strCache>
            </c:strRef>
          </c:cat>
          <c:val>
            <c:numRef>
              <c:f>KPIs!$D$54:$D$58</c:f>
              <c:numCache>
                <c:formatCode>General</c:formatCode>
                <c:ptCount val="5"/>
                <c:pt idx="0">
                  <c:v>3</c:v>
                </c:pt>
                <c:pt idx="1">
                  <c:v>4</c:v>
                </c:pt>
                <c:pt idx="2">
                  <c:v>3</c:v>
                </c:pt>
              </c:numCache>
            </c:numRef>
          </c:val>
          <c:extLst>
            <c:ext xmlns:c16="http://schemas.microsoft.com/office/drawing/2014/chart" uri="{C3380CC4-5D6E-409C-BE32-E72D297353CC}">
              <c16:uniqueId val="{00000001-0095-4551-9E56-2984B4C1BD7E}"/>
            </c:ext>
          </c:extLst>
        </c:ser>
        <c:dLbls>
          <c:dLblPos val="ctr"/>
          <c:showLegendKey val="0"/>
          <c:showVal val="1"/>
          <c:showCatName val="0"/>
          <c:showSerName val="0"/>
          <c:showPercent val="0"/>
          <c:showBubbleSize val="0"/>
        </c:dLbls>
        <c:gapWidth val="150"/>
        <c:overlap val="100"/>
        <c:axId val="1165428495"/>
        <c:axId val="1165425615"/>
      </c:barChart>
      <c:catAx>
        <c:axId val="116542849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5425615"/>
        <c:crosses val="autoZero"/>
        <c:auto val="1"/>
        <c:lblAlgn val="ctr"/>
        <c:lblOffset val="100"/>
        <c:noMultiLvlLbl val="0"/>
      </c:catAx>
      <c:valAx>
        <c:axId val="1165425615"/>
        <c:scaling>
          <c:orientation val="minMax"/>
        </c:scaling>
        <c:delete val="1"/>
        <c:axPos val="t"/>
        <c:numFmt formatCode="General" sourceLinked="1"/>
        <c:majorTickMark val="none"/>
        <c:minorTickMark val="none"/>
        <c:tickLblPos val="nextTo"/>
        <c:crossAx val="11654284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3.xml"/><Relationship Id="rId18" Type="http://schemas.openxmlformats.org/officeDocument/2006/relationships/image" Target="../media/image12.svg"/><Relationship Id="rId3" Type="http://schemas.openxmlformats.org/officeDocument/2006/relationships/chart" Target="../charts/chart1.xml"/><Relationship Id="rId7" Type="http://schemas.openxmlformats.org/officeDocument/2006/relationships/image" Target="../media/image6.svg"/><Relationship Id="rId12" Type="http://schemas.openxmlformats.org/officeDocument/2006/relationships/chart" Target="../charts/chart2.xml"/><Relationship Id="rId17" Type="http://schemas.openxmlformats.org/officeDocument/2006/relationships/image" Target="../media/image11.png"/><Relationship Id="rId2" Type="http://schemas.openxmlformats.org/officeDocument/2006/relationships/image" Target="../media/image2.svg"/><Relationship Id="rId16"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svg"/><Relationship Id="rId5" Type="http://schemas.openxmlformats.org/officeDocument/2006/relationships/image" Target="../media/image4.svg"/><Relationship Id="rId15" Type="http://schemas.openxmlformats.org/officeDocument/2006/relationships/chart" Target="../charts/chart5.xml"/><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svg"/><Relationship Id="rId1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xdr:colOff>
      <xdr:row>0</xdr:row>
      <xdr:rowOff>1</xdr:rowOff>
    </xdr:from>
    <xdr:to>
      <xdr:col>4</xdr:col>
      <xdr:colOff>2</xdr:colOff>
      <xdr:row>34</xdr:row>
      <xdr:rowOff>182393</xdr:rowOff>
    </xdr:to>
    <xdr:sp macro="" textlink="">
      <xdr:nvSpPr>
        <xdr:cNvPr id="7" name="Rectangle: Rounded Corners 2">
          <a:extLst>
            <a:ext uri="{FF2B5EF4-FFF2-40B4-BE49-F238E27FC236}">
              <a16:creationId xmlns:a16="http://schemas.microsoft.com/office/drawing/2014/main" id="{81D1C3D0-594B-42B4-9EF2-B7D2289D5AD0}"/>
            </a:ext>
          </a:extLst>
        </xdr:cNvPr>
        <xdr:cNvSpPr/>
      </xdr:nvSpPr>
      <xdr:spPr>
        <a:xfrm rot="16200000">
          <a:off x="-1894865" y="1894867"/>
          <a:ext cx="6383775" cy="2594044"/>
        </a:xfrm>
        <a:prstGeom prst="rect">
          <a:avLst/>
        </a:prstGeom>
        <a:solidFill>
          <a:srgbClr val="0388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3356</xdr:colOff>
      <xdr:row>1</xdr:row>
      <xdr:rowOff>95249</xdr:rowOff>
    </xdr:from>
    <xdr:to>
      <xdr:col>3</xdr:col>
      <xdr:colOff>461056</xdr:colOff>
      <xdr:row>8</xdr:row>
      <xdr:rowOff>86739</xdr:rowOff>
    </xdr:to>
    <xdr:sp macro="" textlink="">
      <xdr:nvSpPr>
        <xdr:cNvPr id="8" name="TextBox 7">
          <a:extLst>
            <a:ext uri="{FF2B5EF4-FFF2-40B4-BE49-F238E27FC236}">
              <a16:creationId xmlns:a16="http://schemas.microsoft.com/office/drawing/2014/main" id="{FC9B14CE-86A6-162E-906B-7264528D2FEF}"/>
            </a:ext>
          </a:extLst>
        </xdr:cNvPr>
        <xdr:cNvSpPr txBox="1"/>
      </xdr:nvSpPr>
      <xdr:spPr>
        <a:xfrm>
          <a:off x="3356" y="277643"/>
          <a:ext cx="2403232" cy="12682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0">
              <a:solidFill>
                <a:schemeClr val="bg1"/>
              </a:solidFill>
              <a:latin typeface="Segoe UI" panose="020B0502040204020203" pitchFamily="34" charset="0"/>
              <a:cs typeface="Segoe UI" panose="020B0502040204020203" pitchFamily="34" charset="0"/>
            </a:rPr>
            <a:t>Customer Support Overview Dashboard</a:t>
          </a:r>
        </a:p>
        <a:p>
          <a:r>
            <a:rPr lang="en-GB" sz="1400" b="0">
              <a:solidFill>
                <a:schemeClr val="bg1"/>
              </a:solidFill>
              <a:latin typeface="Segoe UI" panose="020B0502040204020203" pitchFamily="34" charset="0"/>
              <a:cs typeface="Segoe UI" panose="020B0502040204020203" pitchFamily="34" charset="0"/>
            </a:rPr>
            <a:t> </a:t>
          </a:r>
          <a:r>
            <a:rPr lang="en-GB" sz="1050" b="0">
              <a:solidFill>
                <a:schemeClr val="bg1"/>
              </a:solidFill>
              <a:latin typeface="Segoe UI" panose="020B0502040204020203" pitchFamily="34" charset="0"/>
              <a:cs typeface="Segoe UI" panose="020B0502040204020203" pitchFamily="34" charset="0"/>
            </a:rPr>
            <a:t>July -</a:t>
          </a:r>
          <a:r>
            <a:rPr lang="en-GB" sz="1050" b="0" baseline="0">
              <a:solidFill>
                <a:schemeClr val="bg1"/>
              </a:solidFill>
              <a:latin typeface="Segoe UI" panose="020B0502040204020203" pitchFamily="34" charset="0"/>
              <a:cs typeface="Segoe UI" panose="020B0502040204020203" pitchFamily="34" charset="0"/>
            </a:rPr>
            <a:t> </a:t>
          </a:r>
          <a:r>
            <a:rPr lang="en-GB" sz="1050" b="0">
              <a:solidFill>
                <a:schemeClr val="bg1"/>
              </a:solidFill>
              <a:latin typeface="Segoe UI" panose="020B0502040204020203" pitchFamily="34" charset="0"/>
              <a:cs typeface="Segoe UI" panose="020B0502040204020203" pitchFamily="34" charset="0"/>
            </a:rPr>
            <a:t>Sept</a:t>
          </a:r>
          <a:endParaRPr lang="en-GB" sz="1400" b="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4</xdr:col>
      <xdr:colOff>276942</xdr:colOff>
      <xdr:row>8</xdr:row>
      <xdr:rowOff>53403</xdr:rowOff>
    </xdr:from>
    <xdr:to>
      <xdr:col>8</xdr:col>
      <xdr:colOff>310279</xdr:colOff>
      <xdr:row>20</xdr:row>
      <xdr:rowOff>162940</xdr:rowOff>
    </xdr:to>
    <xdr:sp macro="" textlink="">
      <xdr:nvSpPr>
        <xdr:cNvPr id="9" name="Rectangle: Rounded Corners 2">
          <a:extLst>
            <a:ext uri="{FF2B5EF4-FFF2-40B4-BE49-F238E27FC236}">
              <a16:creationId xmlns:a16="http://schemas.microsoft.com/office/drawing/2014/main" id="{649A12F0-8B68-4461-B2FE-8865C24C456F}"/>
            </a:ext>
          </a:extLst>
        </xdr:cNvPr>
        <xdr:cNvSpPr/>
      </xdr:nvSpPr>
      <xdr:spPr>
        <a:xfrm>
          <a:off x="2870985" y="1512552"/>
          <a:ext cx="2627379" cy="2298260"/>
        </a:xfrm>
        <a:prstGeom prst="rect">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286460</xdr:colOff>
      <xdr:row>22</xdr:row>
      <xdr:rowOff>12291</xdr:rowOff>
    </xdr:from>
    <xdr:to>
      <xdr:col>8</xdr:col>
      <xdr:colOff>319797</xdr:colOff>
      <xdr:row>32</xdr:row>
      <xdr:rowOff>151823</xdr:rowOff>
    </xdr:to>
    <xdr:sp macro="" textlink="">
      <xdr:nvSpPr>
        <xdr:cNvPr id="10" name="Rectangle: Rounded Corners 2">
          <a:extLst>
            <a:ext uri="{FF2B5EF4-FFF2-40B4-BE49-F238E27FC236}">
              <a16:creationId xmlns:a16="http://schemas.microsoft.com/office/drawing/2014/main" id="{CB84D52C-40A6-4544-BA76-3E4DEB3FEAC2}"/>
            </a:ext>
          </a:extLst>
        </xdr:cNvPr>
        <xdr:cNvSpPr/>
      </xdr:nvSpPr>
      <xdr:spPr>
        <a:xfrm>
          <a:off x="2880503" y="4024951"/>
          <a:ext cx="2627379" cy="1963468"/>
        </a:xfrm>
        <a:prstGeom prst="rect">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9</xdr:col>
      <xdr:colOff>73741</xdr:colOff>
      <xdr:row>8</xdr:row>
      <xdr:rowOff>60565</xdr:rowOff>
    </xdr:from>
    <xdr:to>
      <xdr:col>13</xdr:col>
      <xdr:colOff>107079</xdr:colOff>
      <xdr:row>20</xdr:row>
      <xdr:rowOff>171265</xdr:rowOff>
    </xdr:to>
    <xdr:sp macro="" textlink="">
      <xdr:nvSpPr>
        <xdr:cNvPr id="11" name="Rectangle: Rounded Corners 2">
          <a:extLst>
            <a:ext uri="{FF2B5EF4-FFF2-40B4-BE49-F238E27FC236}">
              <a16:creationId xmlns:a16="http://schemas.microsoft.com/office/drawing/2014/main" id="{83576338-D912-46AA-9F61-007E20513DA0}"/>
            </a:ext>
          </a:extLst>
        </xdr:cNvPr>
        <xdr:cNvSpPr/>
      </xdr:nvSpPr>
      <xdr:spPr>
        <a:xfrm>
          <a:off x="5910337" y="1519714"/>
          <a:ext cx="2627380" cy="2299423"/>
        </a:xfrm>
        <a:prstGeom prst="rect">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0</xdr:colOff>
      <xdr:row>8</xdr:row>
      <xdr:rowOff>97464</xdr:rowOff>
    </xdr:from>
    <xdr:to>
      <xdr:col>22</xdr:col>
      <xdr:colOff>557314</xdr:colOff>
      <xdr:row>21</xdr:row>
      <xdr:rowOff>30398</xdr:rowOff>
    </xdr:to>
    <xdr:sp macro="" textlink="">
      <xdr:nvSpPr>
        <xdr:cNvPr id="13" name="Rectangle: Rounded Corners 2">
          <a:extLst>
            <a:ext uri="{FF2B5EF4-FFF2-40B4-BE49-F238E27FC236}">
              <a16:creationId xmlns:a16="http://schemas.microsoft.com/office/drawing/2014/main" id="{FD620203-93DD-4088-A439-69140DC465F8}"/>
            </a:ext>
          </a:extLst>
        </xdr:cNvPr>
        <xdr:cNvSpPr/>
      </xdr:nvSpPr>
      <xdr:spPr>
        <a:xfrm>
          <a:off x="9079149" y="1556613"/>
          <a:ext cx="5745399" cy="2304051"/>
        </a:xfrm>
        <a:prstGeom prst="rect">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91198</xdr:colOff>
      <xdr:row>22</xdr:row>
      <xdr:rowOff>39111</xdr:rowOff>
    </xdr:from>
    <xdr:to>
      <xdr:col>13</xdr:col>
      <xdr:colOff>124536</xdr:colOff>
      <xdr:row>32</xdr:row>
      <xdr:rowOff>177224</xdr:rowOff>
    </xdr:to>
    <xdr:sp macro="" textlink="">
      <xdr:nvSpPr>
        <xdr:cNvPr id="14" name="Rectangle: Rounded Corners 2">
          <a:extLst>
            <a:ext uri="{FF2B5EF4-FFF2-40B4-BE49-F238E27FC236}">
              <a16:creationId xmlns:a16="http://schemas.microsoft.com/office/drawing/2014/main" id="{EA8F7BE6-850A-4489-AD0B-30E6B5063A0B}"/>
            </a:ext>
          </a:extLst>
        </xdr:cNvPr>
        <xdr:cNvSpPr/>
      </xdr:nvSpPr>
      <xdr:spPr>
        <a:xfrm>
          <a:off x="5927794" y="4051771"/>
          <a:ext cx="2627380" cy="1962049"/>
        </a:xfrm>
        <a:prstGeom prst="rect">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0</xdr:colOff>
      <xdr:row>22</xdr:row>
      <xdr:rowOff>62923</xdr:rowOff>
    </xdr:from>
    <xdr:to>
      <xdr:col>22</xdr:col>
      <xdr:colOff>567447</xdr:colOff>
      <xdr:row>33</xdr:row>
      <xdr:rowOff>45599</xdr:rowOff>
    </xdr:to>
    <xdr:sp macro="" textlink="">
      <xdr:nvSpPr>
        <xdr:cNvPr id="16" name="Rectangle: Rounded Corners 2">
          <a:extLst>
            <a:ext uri="{FF2B5EF4-FFF2-40B4-BE49-F238E27FC236}">
              <a16:creationId xmlns:a16="http://schemas.microsoft.com/office/drawing/2014/main" id="{492248A1-18AB-4A40-8748-A1E2803AE74F}"/>
            </a:ext>
          </a:extLst>
        </xdr:cNvPr>
        <xdr:cNvSpPr/>
      </xdr:nvSpPr>
      <xdr:spPr>
        <a:xfrm>
          <a:off x="9079149" y="4075583"/>
          <a:ext cx="5755532" cy="1989005"/>
        </a:xfrm>
        <a:prstGeom prst="rect">
          <a:avLst/>
        </a:prstGeom>
        <a:solidFill>
          <a:schemeClr val="bg1"/>
        </a:solidFill>
        <a:ln>
          <a:noFill/>
        </a:ln>
        <a:effectLst>
          <a:outerShdw blurRad="635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292539</xdr:colOff>
      <xdr:row>1</xdr:row>
      <xdr:rowOff>77742</xdr:rowOff>
    </xdr:from>
    <xdr:to>
      <xdr:col>6</xdr:col>
      <xdr:colOff>637118</xdr:colOff>
      <xdr:row>6</xdr:row>
      <xdr:rowOff>98174</xdr:rowOff>
    </xdr:to>
    <xdr:grpSp>
      <xdr:nvGrpSpPr>
        <xdr:cNvPr id="59" name="Group 58">
          <a:extLst>
            <a:ext uri="{FF2B5EF4-FFF2-40B4-BE49-F238E27FC236}">
              <a16:creationId xmlns:a16="http://schemas.microsoft.com/office/drawing/2014/main" id="{02B5E351-EDD0-A62F-A55D-54D36D0FDB7B}"/>
            </a:ext>
          </a:extLst>
        </xdr:cNvPr>
        <xdr:cNvGrpSpPr/>
      </xdr:nvGrpSpPr>
      <xdr:grpSpPr>
        <a:xfrm>
          <a:off x="2886582" y="260136"/>
          <a:ext cx="1641600" cy="932400"/>
          <a:chOff x="2896714" y="229736"/>
          <a:chExt cx="1987997" cy="1047020"/>
        </a:xfrm>
      </xdr:grpSpPr>
      <xdr:sp macro="" textlink="">
        <xdr:nvSpPr>
          <xdr:cNvPr id="3" name="Rectangle: Rounded Corners 2">
            <a:extLst>
              <a:ext uri="{FF2B5EF4-FFF2-40B4-BE49-F238E27FC236}">
                <a16:creationId xmlns:a16="http://schemas.microsoft.com/office/drawing/2014/main" id="{9F27309D-7E2E-5434-FE09-B27A1CAB18AB}"/>
              </a:ext>
            </a:extLst>
          </xdr:cNvPr>
          <xdr:cNvSpPr/>
        </xdr:nvSpPr>
        <xdr:spPr>
          <a:xfrm>
            <a:off x="2896714" y="229736"/>
            <a:ext cx="1987997" cy="1047020"/>
          </a:xfrm>
          <a:prstGeom prst="flowChartAlternateProcess">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26" name="TextBox 25">
            <a:extLst>
              <a:ext uri="{FF2B5EF4-FFF2-40B4-BE49-F238E27FC236}">
                <a16:creationId xmlns:a16="http://schemas.microsoft.com/office/drawing/2014/main" id="{40D48DB9-13C8-4B92-8F3D-42D9983AD3DA}"/>
              </a:ext>
            </a:extLst>
          </xdr:cNvPr>
          <xdr:cNvSpPr txBox="1"/>
        </xdr:nvSpPr>
        <xdr:spPr>
          <a:xfrm>
            <a:off x="3110207" y="322482"/>
            <a:ext cx="1481522" cy="309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0">
                <a:solidFill>
                  <a:sysClr val="windowText" lastClr="000000"/>
                </a:solidFill>
                <a:latin typeface="Segoe UI" panose="020B0502040204020203" pitchFamily="34" charset="0"/>
                <a:cs typeface="Segoe UI" panose="020B0502040204020203" pitchFamily="34" charset="0"/>
              </a:rPr>
              <a:t>Total Tickets</a:t>
            </a:r>
          </a:p>
          <a:p>
            <a:pPr algn="r"/>
            <a:endParaRPr lang="en-GB" sz="1300" b="0">
              <a:solidFill>
                <a:sysClr val="windowText" lastClr="000000"/>
              </a:solidFill>
              <a:latin typeface="Segoe UI" panose="020B0502040204020203" pitchFamily="34" charset="0"/>
              <a:cs typeface="Segoe UI" panose="020B0502040204020203" pitchFamily="34" charset="0"/>
            </a:endParaRPr>
          </a:p>
        </xdr:txBody>
      </xdr:sp>
      <xdr:sp macro="" textlink="KPIs!E36">
        <xdr:nvSpPr>
          <xdr:cNvPr id="28" name="TextBox 27">
            <a:extLst>
              <a:ext uri="{FF2B5EF4-FFF2-40B4-BE49-F238E27FC236}">
                <a16:creationId xmlns:a16="http://schemas.microsoft.com/office/drawing/2014/main" id="{882FDE66-C8BE-0FBF-4E04-ADCC10AAAD7D}"/>
              </a:ext>
            </a:extLst>
          </xdr:cNvPr>
          <xdr:cNvSpPr txBox="1"/>
        </xdr:nvSpPr>
        <xdr:spPr>
          <a:xfrm>
            <a:off x="3545927" y="729574"/>
            <a:ext cx="993647" cy="36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3B476717-7160-4686-AB7A-517FC010B176}" type="TxLink">
              <a:rPr lang="en-US" sz="1600" b="1">
                <a:solidFill>
                  <a:srgbClr val="0388A6"/>
                </a:solidFill>
                <a:latin typeface="Segoe UI" panose="020B0502040204020203" pitchFamily="34" charset="0"/>
                <a:ea typeface="+mn-ea"/>
                <a:cs typeface="Segoe UI" panose="020B0502040204020203" pitchFamily="34" charset="0"/>
              </a:rPr>
              <a:pPr marL="0" indent="0" algn="r"/>
              <a:t>59</a:t>
            </a:fld>
            <a:endParaRPr lang="en-GB" sz="1600" b="1">
              <a:solidFill>
                <a:srgbClr val="0388A6"/>
              </a:solidFill>
              <a:latin typeface="Segoe UI" panose="020B0502040204020203" pitchFamily="34" charset="0"/>
              <a:ea typeface="+mn-ea"/>
              <a:cs typeface="Segoe UI" panose="020B0502040204020203" pitchFamily="34" charset="0"/>
            </a:endParaRPr>
          </a:p>
        </xdr:txBody>
      </xdr:sp>
      <xdr:pic>
        <xdr:nvPicPr>
          <xdr:cNvPr id="34" name="Graphic 33" descr="Ticket with solid fill">
            <a:extLst>
              <a:ext uri="{FF2B5EF4-FFF2-40B4-BE49-F238E27FC236}">
                <a16:creationId xmlns:a16="http://schemas.microsoft.com/office/drawing/2014/main" id="{C205A409-5E37-B4B5-BBB1-20A225909F3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3110207" y="633303"/>
            <a:ext cx="466118" cy="466118"/>
          </a:xfrm>
          <a:prstGeom prst="rect">
            <a:avLst/>
          </a:prstGeom>
        </xdr:spPr>
      </xdr:pic>
    </xdr:grpSp>
    <xdr:clientData/>
  </xdr:twoCellAnchor>
  <xdr:twoCellAnchor>
    <xdr:from>
      <xdr:col>4</xdr:col>
      <xdr:colOff>310278</xdr:colOff>
      <xdr:row>8</xdr:row>
      <xdr:rowOff>182393</xdr:rowOff>
    </xdr:from>
    <xdr:to>
      <xdr:col>7</xdr:col>
      <xdr:colOff>648510</xdr:colOff>
      <xdr:row>19</xdr:row>
      <xdr:rowOff>182392</xdr:rowOff>
    </xdr:to>
    <xdr:graphicFrame macro="">
      <xdr:nvGraphicFramePr>
        <xdr:cNvPr id="35" name="Chart 34">
          <a:extLst>
            <a:ext uri="{FF2B5EF4-FFF2-40B4-BE49-F238E27FC236}">
              <a16:creationId xmlns:a16="http://schemas.microsoft.com/office/drawing/2014/main" id="{74A17C39-9B01-48A6-8393-BBC48281B2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385303</xdr:colOff>
      <xdr:row>1</xdr:row>
      <xdr:rowOff>95113</xdr:rowOff>
    </xdr:from>
    <xdr:to>
      <xdr:col>10</xdr:col>
      <xdr:colOff>79084</xdr:colOff>
      <xdr:row>6</xdr:row>
      <xdr:rowOff>115545</xdr:rowOff>
    </xdr:to>
    <xdr:grpSp>
      <xdr:nvGrpSpPr>
        <xdr:cNvPr id="56" name="Group 55">
          <a:extLst>
            <a:ext uri="{FF2B5EF4-FFF2-40B4-BE49-F238E27FC236}">
              <a16:creationId xmlns:a16="http://schemas.microsoft.com/office/drawing/2014/main" id="{00E58F91-3D51-495B-9F33-4441B9D1A5CF}"/>
            </a:ext>
          </a:extLst>
        </xdr:cNvPr>
        <xdr:cNvGrpSpPr/>
      </xdr:nvGrpSpPr>
      <xdr:grpSpPr>
        <a:xfrm>
          <a:off x="4924877" y="277507"/>
          <a:ext cx="1639313" cy="932400"/>
          <a:chOff x="5463451" y="238125"/>
          <a:chExt cx="1987200" cy="1047600"/>
        </a:xfrm>
      </xdr:grpSpPr>
      <xdr:sp macro="" textlink="">
        <xdr:nvSpPr>
          <xdr:cNvPr id="5" name="Rectangle: Rounded Corners 2">
            <a:extLst>
              <a:ext uri="{FF2B5EF4-FFF2-40B4-BE49-F238E27FC236}">
                <a16:creationId xmlns:a16="http://schemas.microsoft.com/office/drawing/2014/main" id="{CEF197CD-4E28-4CF4-A55E-EA012791CAAB}"/>
              </a:ext>
            </a:extLst>
          </xdr:cNvPr>
          <xdr:cNvSpPr/>
        </xdr:nvSpPr>
        <xdr:spPr>
          <a:xfrm>
            <a:off x="5463451" y="238125"/>
            <a:ext cx="1987200" cy="1047600"/>
          </a:xfrm>
          <a:prstGeom prst="flowChartAlternateProcess">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6" name="TextBox 35">
            <a:extLst>
              <a:ext uri="{FF2B5EF4-FFF2-40B4-BE49-F238E27FC236}">
                <a16:creationId xmlns:a16="http://schemas.microsoft.com/office/drawing/2014/main" id="{B3E81BFA-20CE-462B-8545-50C238F81714}"/>
              </a:ext>
            </a:extLst>
          </xdr:cNvPr>
          <xdr:cNvSpPr txBox="1"/>
        </xdr:nvSpPr>
        <xdr:spPr>
          <a:xfrm>
            <a:off x="5737572" y="338898"/>
            <a:ext cx="1438930" cy="309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0">
                <a:solidFill>
                  <a:sysClr val="windowText" lastClr="000000"/>
                </a:solidFill>
                <a:latin typeface="Segoe UI" panose="020B0502040204020203" pitchFamily="34" charset="0"/>
                <a:cs typeface="Segoe UI" panose="020B0502040204020203" pitchFamily="34" charset="0"/>
              </a:rPr>
              <a:t>Open Tickets</a:t>
            </a:r>
          </a:p>
          <a:p>
            <a:pPr algn="r"/>
            <a:endParaRPr lang="en-GB" sz="1300" b="0">
              <a:solidFill>
                <a:sysClr val="windowText" lastClr="000000"/>
              </a:solidFill>
              <a:latin typeface="Segoe UI" panose="020B0502040204020203" pitchFamily="34" charset="0"/>
              <a:cs typeface="Segoe UI" panose="020B0502040204020203" pitchFamily="34" charset="0"/>
            </a:endParaRPr>
          </a:p>
        </xdr:txBody>
      </xdr:sp>
      <xdr:sp macro="" textlink="KPIs!B5">
        <xdr:nvSpPr>
          <xdr:cNvPr id="37" name="TextBox 36">
            <a:extLst>
              <a:ext uri="{FF2B5EF4-FFF2-40B4-BE49-F238E27FC236}">
                <a16:creationId xmlns:a16="http://schemas.microsoft.com/office/drawing/2014/main" id="{FC96A068-2E43-4D09-814A-CD591D2D02B0}"/>
              </a:ext>
            </a:extLst>
          </xdr:cNvPr>
          <xdr:cNvSpPr txBox="1"/>
        </xdr:nvSpPr>
        <xdr:spPr>
          <a:xfrm>
            <a:off x="6139970" y="754900"/>
            <a:ext cx="993647" cy="36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FC5C442-3277-4DEF-ABCF-4C151D7F6B15}" type="TxLink">
              <a:rPr lang="en-US" sz="1600" b="1" i="0" u="none" strike="noStrike">
                <a:solidFill>
                  <a:srgbClr val="0388A6"/>
                </a:solidFill>
                <a:latin typeface="Segoe UI" panose="020B0502040204020203" pitchFamily="34" charset="0"/>
                <a:ea typeface="Calibri"/>
                <a:cs typeface="Segoe UI" panose="020B0502040204020203" pitchFamily="34" charset="0"/>
              </a:rPr>
              <a:pPr marL="0" indent="0" algn="r"/>
              <a:t>10</a:t>
            </a:fld>
            <a:endParaRPr lang="en-GB" sz="1600" b="1">
              <a:solidFill>
                <a:srgbClr val="0388A6"/>
              </a:solidFill>
              <a:latin typeface="Segoe UI" panose="020B0502040204020203" pitchFamily="34" charset="0"/>
              <a:ea typeface="+mn-ea"/>
              <a:cs typeface="Segoe UI" panose="020B0502040204020203" pitchFamily="34" charset="0"/>
            </a:endParaRPr>
          </a:p>
        </xdr:txBody>
      </xdr:sp>
      <xdr:pic>
        <xdr:nvPicPr>
          <xdr:cNvPr id="39" name="Graphic 38" descr="Label with solid fill">
            <a:extLst>
              <a:ext uri="{FF2B5EF4-FFF2-40B4-BE49-F238E27FC236}">
                <a16:creationId xmlns:a16="http://schemas.microsoft.com/office/drawing/2014/main" id="{52B830B2-6AA6-3753-F97E-F6417A86971E}"/>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641258" y="631531"/>
            <a:ext cx="632858" cy="569806"/>
          </a:xfrm>
          <a:prstGeom prst="rect">
            <a:avLst/>
          </a:prstGeom>
        </xdr:spPr>
      </xdr:pic>
    </xdr:grpSp>
    <xdr:clientData/>
  </xdr:twoCellAnchor>
  <xdr:twoCellAnchor>
    <xdr:from>
      <xdr:col>13</xdr:col>
      <xdr:colOff>568542</xdr:colOff>
      <xdr:row>1</xdr:row>
      <xdr:rowOff>129855</xdr:rowOff>
    </xdr:from>
    <xdr:to>
      <xdr:col>16</xdr:col>
      <xdr:colOff>264610</xdr:colOff>
      <xdr:row>6</xdr:row>
      <xdr:rowOff>150287</xdr:rowOff>
    </xdr:to>
    <xdr:grpSp>
      <xdr:nvGrpSpPr>
        <xdr:cNvPr id="57" name="Group 56">
          <a:extLst>
            <a:ext uri="{FF2B5EF4-FFF2-40B4-BE49-F238E27FC236}">
              <a16:creationId xmlns:a16="http://schemas.microsoft.com/office/drawing/2014/main" id="{29950508-664B-9A01-7F68-C110F86E643E}"/>
            </a:ext>
          </a:extLst>
        </xdr:cNvPr>
        <xdr:cNvGrpSpPr/>
      </xdr:nvGrpSpPr>
      <xdr:grpSpPr>
        <a:xfrm>
          <a:off x="8999180" y="312249"/>
          <a:ext cx="1641600" cy="932400"/>
          <a:chOff x="8212779" y="241551"/>
          <a:chExt cx="1987200" cy="1047600"/>
        </a:xfrm>
      </xdr:grpSpPr>
      <xdr:sp macro="" textlink="">
        <xdr:nvSpPr>
          <xdr:cNvPr id="6" name="Rectangle: Rounded Corners 2">
            <a:extLst>
              <a:ext uri="{FF2B5EF4-FFF2-40B4-BE49-F238E27FC236}">
                <a16:creationId xmlns:a16="http://schemas.microsoft.com/office/drawing/2014/main" id="{5E61645C-8225-4F88-B8B9-5D9A5259CB55}"/>
              </a:ext>
            </a:extLst>
          </xdr:cNvPr>
          <xdr:cNvSpPr/>
        </xdr:nvSpPr>
        <xdr:spPr>
          <a:xfrm>
            <a:off x="8212779" y="241551"/>
            <a:ext cx="1987200" cy="1047600"/>
          </a:xfrm>
          <a:prstGeom prst="flowChartAlternateProcess">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1" name="Graphic 40" descr="No sign with solid fill">
            <a:extLst>
              <a:ext uri="{FF2B5EF4-FFF2-40B4-BE49-F238E27FC236}">
                <a16:creationId xmlns:a16="http://schemas.microsoft.com/office/drawing/2014/main" id="{AFA45648-FC3A-367C-33E4-7949AA78BE0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8377320" y="681977"/>
            <a:ext cx="521043" cy="489551"/>
          </a:xfrm>
          <a:prstGeom prst="rect">
            <a:avLst/>
          </a:prstGeom>
        </xdr:spPr>
      </xdr:pic>
      <xdr:sp macro="" textlink="">
        <xdr:nvSpPr>
          <xdr:cNvPr id="42" name="TextBox 41">
            <a:extLst>
              <a:ext uri="{FF2B5EF4-FFF2-40B4-BE49-F238E27FC236}">
                <a16:creationId xmlns:a16="http://schemas.microsoft.com/office/drawing/2014/main" id="{A19C5D6C-62E5-46E6-9E8B-533DF98538FB}"/>
              </a:ext>
            </a:extLst>
          </xdr:cNvPr>
          <xdr:cNvSpPr txBox="1"/>
        </xdr:nvSpPr>
        <xdr:spPr>
          <a:xfrm>
            <a:off x="8218997" y="327507"/>
            <a:ext cx="1754072" cy="309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0">
                <a:solidFill>
                  <a:sysClr val="windowText" lastClr="000000"/>
                </a:solidFill>
                <a:latin typeface="Segoe UI" panose="020B0502040204020203" pitchFamily="34" charset="0"/>
                <a:cs typeface="Segoe UI" panose="020B0502040204020203" pitchFamily="34" charset="0"/>
              </a:rPr>
              <a:t>Closed Tickets</a:t>
            </a:r>
          </a:p>
          <a:p>
            <a:pPr algn="r"/>
            <a:endParaRPr lang="en-GB" sz="1300" b="0">
              <a:solidFill>
                <a:sysClr val="windowText" lastClr="000000"/>
              </a:solidFill>
              <a:latin typeface="Segoe UI" panose="020B0502040204020203" pitchFamily="34" charset="0"/>
              <a:cs typeface="Segoe UI" panose="020B0502040204020203" pitchFamily="34" charset="0"/>
            </a:endParaRPr>
          </a:p>
        </xdr:txBody>
      </xdr:sp>
      <xdr:sp macro="" textlink="KPIs!B4">
        <xdr:nvSpPr>
          <xdr:cNvPr id="43" name="TextBox 42">
            <a:extLst>
              <a:ext uri="{FF2B5EF4-FFF2-40B4-BE49-F238E27FC236}">
                <a16:creationId xmlns:a16="http://schemas.microsoft.com/office/drawing/2014/main" id="{D5F3EDA5-6BA0-4EBE-8DF3-187916CFC540}"/>
              </a:ext>
            </a:extLst>
          </xdr:cNvPr>
          <xdr:cNvSpPr txBox="1"/>
        </xdr:nvSpPr>
        <xdr:spPr>
          <a:xfrm>
            <a:off x="8873950" y="754900"/>
            <a:ext cx="936935" cy="36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A3D563D4-C7C3-4710-A8C0-3D0E46F2D45B}" type="TxLink">
              <a:rPr lang="en-US" sz="1600" b="1">
                <a:solidFill>
                  <a:srgbClr val="0388A6"/>
                </a:solidFill>
                <a:latin typeface="Segoe UI" panose="020B0502040204020203" pitchFamily="34" charset="0"/>
                <a:ea typeface="+mn-ea"/>
                <a:cs typeface="Segoe UI" panose="020B0502040204020203" pitchFamily="34" charset="0"/>
              </a:rPr>
              <a:pPr marL="0" indent="0" algn="r"/>
              <a:t>42</a:t>
            </a:fld>
            <a:endParaRPr lang="en-GB" sz="1600" b="1">
              <a:solidFill>
                <a:srgbClr val="0388A6"/>
              </a:solidFill>
              <a:latin typeface="Segoe UI" panose="020B0502040204020203" pitchFamily="34" charset="0"/>
              <a:ea typeface="+mn-ea"/>
              <a:cs typeface="Segoe UI" panose="020B0502040204020203" pitchFamily="34" charset="0"/>
            </a:endParaRPr>
          </a:p>
        </xdr:txBody>
      </xdr:sp>
    </xdr:grpSp>
    <xdr:clientData/>
  </xdr:twoCellAnchor>
  <xdr:twoCellAnchor>
    <xdr:from>
      <xdr:col>10</xdr:col>
      <xdr:colOff>475779</xdr:colOff>
      <xdr:row>1</xdr:row>
      <xdr:rowOff>112484</xdr:rowOff>
    </xdr:from>
    <xdr:to>
      <xdr:col>13</xdr:col>
      <xdr:colOff>171847</xdr:colOff>
      <xdr:row>6</xdr:row>
      <xdr:rowOff>132916</xdr:rowOff>
    </xdr:to>
    <xdr:grpSp>
      <xdr:nvGrpSpPr>
        <xdr:cNvPr id="58" name="Group 57">
          <a:extLst>
            <a:ext uri="{FF2B5EF4-FFF2-40B4-BE49-F238E27FC236}">
              <a16:creationId xmlns:a16="http://schemas.microsoft.com/office/drawing/2014/main" id="{AF011297-1C5A-57D1-0BE4-4C7E75EAB7FE}"/>
            </a:ext>
          </a:extLst>
        </xdr:cNvPr>
        <xdr:cNvGrpSpPr/>
      </xdr:nvGrpSpPr>
      <xdr:grpSpPr>
        <a:xfrm>
          <a:off x="6960885" y="294878"/>
          <a:ext cx="1641600" cy="932400"/>
          <a:chOff x="10619773" y="244932"/>
          <a:chExt cx="1987200" cy="1047600"/>
        </a:xfrm>
      </xdr:grpSpPr>
      <xdr:sp macro="" textlink="">
        <xdr:nvSpPr>
          <xdr:cNvPr id="4" name="Rectangle: Rounded Corners 2">
            <a:extLst>
              <a:ext uri="{FF2B5EF4-FFF2-40B4-BE49-F238E27FC236}">
                <a16:creationId xmlns:a16="http://schemas.microsoft.com/office/drawing/2014/main" id="{832FDD4F-D384-4434-8D89-029400C00537}"/>
              </a:ext>
            </a:extLst>
          </xdr:cNvPr>
          <xdr:cNvSpPr/>
        </xdr:nvSpPr>
        <xdr:spPr>
          <a:xfrm>
            <a:off x="10619773" y="244932"/>
            <a:ext cx="1987200" cy="1047600"/>
          </a:xfrm>
          <a:prstGeom prst="flowChartAlternateProcess">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5" name="Graphic 44" descr="Eye with solid fill">
            <a:extLst>
              <a:ext uri="{FF2B5EF4-FFF2-40B4-BE49-F238E27FC236}">
                <a16:creationId xmlns:a16="http://schemas.microsoft.com/office/drawing/2014/main" id="{FC9B4967-736B-3EC6-E8D5-BC9ED8A71827}"/>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0814516" y="602890"/>
            <a:ext cx="544254" cy="544254"/>
          </a:xfrm>
          <a:prstGeom prst="rect">
            <a:avLst/>
          </a:prstGeom>
        </xdr:spPr>
      </xdr:pic>
      <xdr:sp macro="" textlink="">
        <xdr:nvSpPr>
          <xdr:cNvPr id="46" name="TextBox 45">
            <a:extLst>
              <a:ext uri="{FF2B5EF4-FFF2-40B4-BE49-F238E27FC236}">
                <a16:creationId xmlns:a16="http://schemas.microsoft.com/office/drawing/2014/main" id="{1748FBF1-E648-4193-BA86-BD74D7EE36E1}"/>
              </a:ext>
            </a:extLst>
          </xdr:cNvPr>
          <xdr:cNvSpPr txBox="1"/>
        </xdr:nvSpPr>
        <xdr:spPr>
          <a:xfrm>
            <a:off x="10711829" y="359687"/>
            <a:ext cx="1570080" cy="3090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0">
                <a:solidFill>
                  <a:sysClr val="windowText" lastClr="000000"/>
                </a:solidFill>
                <a:latin typeface="Segoe UI" panose="020B0502040204020203" pitchFamily="34" charset="0"/>
                <a:cs typeface="Segoe UI" panose="020B0502040204020203" pitchFamily="34" charset="0"/>
              </a:rPr>
              <a:t>In Progress Tickets</a:t>
            </a:r>
          </a:p>
          <a:p>
            <a:pPr algn="r"/>
            <a:endParaRPr lang="en-GB" sz="1300" b="0">
              <a:solidFill>
                <a:sysClr val="windowText" lastClr="000000"/>
              </a:solidFill>
              <a:latin typeface="Segoe UI" panose="020B0502040204020203" pitchFamily="34" charset="0"/>
              <a:cs typeface="Segoe UI" panose="020B0502040204020203" pitchFamily="34" charset="0"/>
            </a:endParaRPr>
          </a:p>
        </xdr:txBody>
      </xdr:sp>
      <xdr:sp macro="" textlink="KPIs!B6">
        <xdr:nvSpPr>
          <xdr:cNvPr id="47" name="TextBox 46">
            <a:extLst>
              <a:ext uri="{FF2B5EF4-FFF2-40B4-BE49-F238E27FC236}">
                <a16:creationId xmlns:a16="http://schemas.microsoft.com/office/drawing/2014/main" id="{EE874D63-4296-493C-B6A3-F03E56706140}"/>
              </a:ext>
            </a:extLst>
          </xdr:cNvPr>
          <xdr:cNvSpPr txBox="1"/>
        </xdr:nvSpPr>
        <xdr:spPr>
          <a:xfrm>
            <a:off x="11221974" y="734634"/>
            <a:ext cx="993647" cy="3647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E9847DE7-DCDE-4568-BAF4-80416CA1C1C2}" type="TxLink">
              <a:rPr lang="en-US" sz="1600" b="1" i="0" u="none" strike="noStrike">
                <a:solidFill>
                  <a:srgbClr val="0388A6"/>
                </a:solidFill>
                <a:latin typeface="Segoe UI" panose="020B0502040204020203" pitchFamily="34" charset="0"/>
                <a:ea typeface="Calibri"/>
                <a:cs typeface="Segoe UI" panose="020B0502040204020203" pitchFamily="34" charset="0"/>
              </a:rPr>
              <a:pPr marL="0" indent="0" algn="r"/>
              <a:t>7</a:t>
            </a:fld>
            <a:endParaRPr lang="en-GB" sz="2400" b="1">
              <a:solidFill>
                <a:srgbClr val="0388A6"/>
              </a:solidFill>
              <a:latin typeface="Segoe UI" panose="020B0502040204020203" pitchFamily="34" charset="0"/>
              <a:ea typeface="+mn-ea"/>
              <a:cs typeface="Segoe UI" panose="020B0502040204020203" pitchFamily="34" charset="0"/>
            </a:endParaRPr>
          </a:p>
        </xdr:txBody>
      </xdr:sp>
    </xdr:grpSp>
    <xdr:clientData/>
  </xdr:twoCellAnchor>
  <xdr:twoCellAnchor>
    <xdr:from>
      <xdr:col>17</xdr:col>
      <xdr:colOff>12794</xdr:colOff>
      <xdr:row>1</xdr:row>
      <xdr:rowOff>147226</xdr:rowOff>
    </xdr:from>
    <xdr:to>
      <xdr:col>19</xdr:col>
      <xdr:colOff>413944</xdr:colOff>
      <xdr:row>6</xdr:row>
      <xdr:rowOff>167658</xdr:rowOff>
    </xdr:to>
    <xdr:grpSp>
      <xdr:nvGrpSpPr>
        <xdr:cNvPr id="62" name="Group 61">
          <a:extLst>
            <a:ext uri="{FF2B5EF4-FFF2-40B4-BE49-F238E27FC236}">
              <a16:creationId xmlns:a16="http://schemas.microsoft.com/office/drawing/2014/main" id="{76E59348-B78B-DC64-F3A2-7EEC54447E75}"/>
            </a:ext>
          </a:extLst>
        </xdr:cNvPr>
        <xdr:cNvGrpSpPr/>
      </xdr:nvGrpSpPr>
      <xdr:grpSpPr>
        <a:xfrm>
          <a:off x="11037475" y="329620"/>
          <a:ext cx="1698171" cy="932400"/>
          <a:chOff x="12563118" y="275354"/>
          <a:chExt cx="2055686" cy="1047600"/>
        </a:xfrm>
      </xdr:grpSpPr>
      <xdr:sp macro="" textlink="">
        <xdr:nvSpPr>
          <xdr:cNvPr id="48" name="Rectangle: Rounded Corners 2">
            <a:extLst>
              <a:ext uri="{FF2B5EF4-FFF2-40B4-BE49-F238E27FC236}">
                <a16:creationId xmlns:a16="http://schemas.microsoft.com/office/drawing/2014/main" id="{FE7DAE37-E67E-4908-A3D0-811D214222E1}"/>
              </a:ext>
            </a:extLst>
          </xdr:cNvPr>
          <xdr:cNvSpPr/>
        </xdr:nvSpPr>
        <xdr:spPr>
          <a:xfrm>
            <a:off x="12631604" y="275354"/>
            <a:ext cx="1987200" cy="1047600"/>
          </a:xfrm>
          <a:prstGeom prst="flowChartAlternateProcess">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50" name="TextBox 49">
            <a:extLst>
              <a:ext uri="{FF2B5EF4-FFF2-40B4-BE49-F238E27FC236}">
                <a16:creationId xmlns:a16="http://schemas.microsoft.com/office/drawing/2014/main" id="{4F497027-A525-42D9-9616-E8CEF2401CB0}"/>
              </a:ext>
            </a:extLst>
          </xdr:cNvPr>
          <xdr:cNvSpPr txBox="1"/>
        </xdr:nvSpPr>
        <xdr:spPr>
          <a:xfrm>
            <a:off x="12563118" y="384078"/>
            <a:ext cx="1711142" cy="3647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GB" sz="1300" b="0">
                <a:solidFill>
                  <a:sysClr val="windowText" lastClr="000000"/>
                </a:solidFill>
                <a:latin typeface="Segoe UI" panose="020B0502040204020203" pitchFamily="34" charset="0"/>
                <a:cs typeface="Segoe UI" panose="020B0502040204020203" pitchFamily="34" charset="0"/>
              </a:rPr>
              <a:t>Avg Rating</a:t>
            </a:r>
          </a:p>
          <a:p>
            <a:pPr algn="r"/>
            <a:endParaRPr lang="en-GB" sz="1300" b="0">
              <a:solidFill>
                <a:sysClr val="windowText" lastClr="000000"/>
              </a:solidFill>
              <a:latin typeface="Segoe UI" panose="020B0502040204020203" pitchFamily="34" charset="0"/>
              <a:cs typeface="Segoe UI" panose="020B0502040204020203" pitchFamily="34" charset="0"/>
            </a:endParaRPr>
          </a:p>
        </xdr:txBody>
      </xdr:sp>
      <xdr:sp macro="" textlink="KPIs!L4">
        <xdr:nvSpPr>
          <xdr:cNvPr id="51" name="TextBox 50">
            <a:extLst>
              <a:ext uri="{FF2B5EF4-FFF2-40B4-BE49-F238E27FC236}">
                <a16:creationId xmlns:a16="http://schemas.microsoft.com/office/drawing/2014/main" id="{C1F17AB4-B4F4-467D-8CA7-79E37221CD1B}"/>
              </a:ext>
            </a:extLst>
          </xdr:cNvPr>
          <xdr:cNvSpPr txBox="1"/>
        </xdr:nvSpPr>
        <xdr:spPr>
          <a:xfrm>
            <a:off x="13420639" y="765203"/>
            <a:ext cx="789149" cy="310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B04F777C-3D3A-448E-B5D1-BEFED315411B}" type="TxLink">
              <a:rPr lang="en-US" sz="1600" b="1">
                <a:solidFill>
                  <a:srgbClr val="0388A6"/>
                </a:solidFill>
                <a:latin typeface="Segoe UI" panose="020B0502040204020203" pitchFamily="34" charset="0"/>
                <a:ea typeface="+mn-ea"/>
                <a:cs typeface="Segoe UI" panose="020B0502040204020203" pitchFamily="34" charset="0"/>
              </a:rPr>
              <a:pPr marL="0" indent="0" algn="r"/>
              <a:t>4.0</a:t>
            </a:fld>
            <a:endParaRPr lang="en-GB" sz="1600" b="1">
              <a:solidFill>
                <a:srgbClr val="0388A6"/>
              </a:solidFill>
              <a:latin typeface="Segoe UI" panose="020B0502040204020203" pitchFamily="34" charset="0"/>
              <a:ea typeface="+mn-ea"/>
              <a:cs typeface="Segoe UI" panose="020B0502040204020203" pitchFamily="34" charset="0"/>
            </a:endParaRPr>
          </a:p>
        </xdr:txBody>
      </xdr:sp>
      <xdr:pic>
        <xdr:nvPicPr>
          <xdr:cNvPr id="61" name="Graphic 60" descr="Rating with solid fill">
            <a:extLst>
              <a:ext uri="{FF2B5EF4-FFF2-40B4-BE49-F238E27FC236}">
                <a16:creationId xmlns:a16="http://schemas.microsoft.com/office/drawing/2014/main" id="{C0CF2616-FD65-1530-199C-FB2F9DFA556F}"/>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12892411" y="754900"/>
            <a:ext cx="470345" cy="470345"/>
          </a:xfrm>
          <a:prstGeom prst="rect">
            <a:avLst/>
          </a:prstGeom>
        </xdr:spPr>
      </xdr:pic>
    </xdr:grpSp>
    <xdr:clientData/>
  </xdr:twoCellAnchor>
  <xdr:twoCellAnchor>
    <xdr:from>
      <xdr:col>9</xdr:col>
      <xdr:colOff>93163</xdr:colOff>
      <xdr:row>10</xdr:row>
      <xdr:rowOff>37792</xdr:rowOff>
    </xdr:from>
    <xdr:to>
      <xdr:col>12</xdr:col>
      <xdr:colOff>614590</xdr:colOff>
      <xdr:row>19</xdr:row>
      <xdr:rowOff>182392</xdr:rowOff>
    </xdr:to>
    <xdr:graphicFrame macro="">
      <xdr:nvGraphicFramePr>
        <xdr:cNvPr id="63" name="Chart 62">
          <a:extLst>
            <a:ext uri="{FF2B5EF4-FFF2-40B4-BE49-F238E27FC236}">
              <a16:creationId xmlns:a16="http://schemas.microsoft.com/office/drawing/2014/main" id="{C8648853-E0D6-4DA9-B675-E8F8FDC3FE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xdr:col>
      <xdr:colOff>293539</xdr:colOff>
      <xdr:row>22</xdr:row>
      <xdr:rowOff>62923</xdr:rowOff>
    </xdr:from>
    <xdr:to>
      <xdr:col>13</xdr:col>
      <xdr:colOff>83524</xdr:colOff>
      <xdr:row>33</xdr:row>
      <xdr:rowOff>138919</xdr:rowOff>
    </xdr:to>
    <xdr:graphicFrame macro="">
      <xdr:nvGraphicFramePr>
        <xdr:cNvPr id="65" name="Chart 64">
          <a:extLst>
            <a:ext uri="{FF2B5EF4-FFF2-40B4-BE49-F238E27FC236}">
              <a16:creationId xmlns:a16="http://schemas.microsoft.com/office/drawing/2014/main" id="{2D9C2898-1D4F-4B6C-9CA6-B69108BBC0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15596</xdr:colOff>
      <xdr:row>22</xdr:row>
      <xdr:rowOff>0</xdr:rowOff>
    </xdr:from>
    <xdr:to>
      <xdr:col>8</xdr:col>
      <xdr:colOff>505666</xdr:colOff>
      <xdr:row>32</xdr:row>
      <xdr:rowOff>0</xdr:rowOff>
    </xdr:to>
    <xdr:grpSp>
      <xdr:nvGrpSpPr>
        <xdr:cNvPr id="32" name="Group 31">
          <a:extLst>
            <a:ext uri="{FF2B5EF4-FFF2-40B4-BE49-F238E27FC236}">
              <a16:creationId xmlns:a16="http://schemas.microsoft.com/office/drawing/2014/main" id="{566BA42E-C71D-2EE0-60DA-C854C9CF8E74}"/>
            </a:ext>
          </a:extLst>
        </xdr:cNvPr>
        <xdr:cNvGrpSpPr/>
      </xdr:nvGrpSpPr>
      <xdr:grpSpPr>
        <a:xfrm>
          <a:off x="2609639" y="4012660"/>
          <a:ext cx="3084112" cy="1823936"/>
          <a:chOff x="2609639" y="4012660"/>
          <a:chExt cx="3084112" cy="1823936"/>
        </a:xfrm>
      </xdr:grpSpPr>
      <xdr:graphicFrame macro="">
        <xdr:nvGraphicFramePr>
          <xdr:cNvPr id="66" name="Chart 65">
            <a:extLst>
              <a:ext uri="{FF2B5EF4-FFF2-40B4-BE49-F238E27FC236}">
                <a16:creationId xmlns:a16="http://schemas.microsoft.com/office/drawing/2014/main" id="{FBB7F867-9032-4BA3-AB34-ACE3D0FDE733}"/>
              </a:ext>
            </a:extLst>
          </xdr:cNvPr>
          <xdr:cNvGraphicFramePr>
            <a:graphicFrameLocks/>
          </xdr:cNvGraphicFramePr>
        </xdr:nvGraphicFramePr>
        <xdr:xfrm>
          <a:off x="2609639" y="4012660"/>
          <a:ext cx="3084112" cy="1823936"/>
        </xdr:xfrm>
        <a:graphic>
          <a:graphicData uri="http://schemas.openxmlformats.org/drawingml/2006/chart">
            <c:chart xmlns:c="http://schemas.openxmlformats.org/drawingml/2006/chart" xmlns:r="http://schemas.openxmlformats.org/officeDocument/2006/relationships" r:id="rId14"/>
          </a:graphicData>
        </a:graphic>
      </xdr:graphicFrame>
      <xdr:sp macro="" textlink="KPIs!C21">
        <xdr:nvSpPr>
          <xdr:cNvPr id="67" name="TextBox 66">
            <a:extLst>
              <a:ext uri="{FF2B5EF4-FFF2-40B4-BE49-F238E27FC236}">
                <a16:creationId xmlns:a16="http://schemas.microsoft.com/office/drawing/2014/main" id="{B2285EB3-2F73-AF8A-A75E-1E1A125B874D}"/>
              </a:ext>
            </a:extLst>
          </xdr:cNvPr>
          <xdr:cNvSpPr txBox="1"/>
        </xdr:nvSpPr>
        <xdr:spPr>
          <a:xfrm>
            <a:off x="3891064" y="4980355"/>
            <a:ext cx="902451" cy="455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6C0B7FB-03B8-4775-95D6-19237CAA9CE5}" type="TxLink">
              <a:rPr lang="en-US" sz="1600" b="1" i="0" u="none" strike="noStrike">
                <a:solidFill>
                  <a:srgbClr val="0388A6"/>
                </a:solidFill>
                <a:latin typeface="Segoe UI" panose="020B0502040204020203" pitchFamily="34" charset="0"/>
                <a:ea typeface="Calibri"/>
                <a:cs typeface="Segoe UI" panose="020B0502040204020203" pitchFamily="34" charset="0"/>
              </a:rPr>
              <a:pPr/>
              <a:t>29%</a:t>
            </a:fld>
            <a:endParaRPr lang="en-GB" sz="2400" b="1">
              <a:solidFill>
                <a:srgbClr val="0388A6"/>
              </a:solidFill>
              <a:latin typeface="Segoe UI" panose="020B0502040204020203" pitchFamily="34" charset="0"/>
              <a:cs typeface="Segoe UI" panose="020B0502040204020203" pitchFamily="34" charset="0"/>
            </a:endParaRPr>
          </a:p>
        </xdr:txBody>
      </xdr:sp>
    </xdr:grpSp>
    <xdr:clientData/>
  </xdr:twoCellAnchor>
  <xdr:twoCellAnchor>
    <xdr:from>
      <xdr:col>14</xdr:col>
      <xdr:colOff>45528</xdr:colOff>
      <xdr:row>23</xdr:row>
      <xdr:rowOff>0</xdr:rowOff>
    </xdr:from>
    <xdr:to>
      <xdr:col>22</xdr:col>
      <xdr:colOff>280646</xdr:colOff>
      <xdr:row>32</xdr:row>
      <xdr:rowOff>0</xdr:rowOff>
    </xdr:to>
    <xdr:graphicFrame macro="">
      <xdr:nvGraphicFramePr>
        <xdr:cNvPr id="68" name="Chart 67">
          <a:extLst>
            <a:ext uri="{FF2B5EF4-FFF2-40B4-BE49-F238E27FC236}">
              <a16:creationId xmlns:a16="http://schemas.microsoft.com/office/drawing/2014/main" id="{C0D1FA8C-5530-4DFC-BE2A-4D71BF7D44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xdr:col>
      <xdr:colOff>282642</xdr:colOff>
      <xdr:row>9</xdr:row>
      <xdr:rowOff>0</xdr:rowOff>
    </xdr:from>
    <xdr:to>
      <xdr:col>22</xdr:col>
      <xdr:colOff>280646</xdr:colOff>
      <xdr:row>20</xdr:row>
      <xdr:rowOff>171265</xdr:rowOff>
    </xdr:to>
    <xdr:graphicFrame macro="">
      <xdr:nvGraphicFramePr>
        <xdr:cNvPr id="69" name="Chart 68">
          <a:extLst>
            <a:ext uri="{FF2B5EF4-FFF2-40B4-BE49-F238E27FC236}">
              <a16:creationId xmlns:a16="http://schemas.microsoft.com/office/drawing/2014/main" id="{39CA7A44-6273-4108-9C01-221B333417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xdr:col>
      <xdr:colOff>648508</xdr:colOff>
      <xdr:row>34</xdr:row>
      <xdr:rowOff>91196</xdr:rowOff>
    </xdr:from>
    <xdr:to>
      <xdr:col>23</xdr:col>
      <xdr:colOff>2</xdr:colOff>
      <xdr:row>35</xdr:row>
      <xdr:rowOff>0</xdr:rowOff>
    </xdr:to>
    <xdr:sp macro="" textlink="">
      <xdr:nvSpPr>
        <xdr:cNvPr id="70" name="Rectangle: Rounded Corners 2">
          <a:extLst>
            <a:ext uri="{FF2B5EF4-FFF2-40B4-BE49-F238E27FC236}">
              <a16:creationId xmlns:a16="http://schemas.microsoft.com/office/drawing/2014/main" id="{9D22386B-349B-41C8-9853-FF12581B1B89}"/>
            </a:ext>
          </a:extLst>
        </xdr:cNvPr>
        <xdr:cNvSpPr/>
      </xdr:nvSpPr>
      <xdr:spPr>
        <a:xfrm rot="16200000">
          <a:off x="8790358" y="96261"/>
          <a:ext cx="91198" cy="12483834"/>
        </a:xfrm>
        <a:prstGeom prst="rect">
          <a:avLst/>
        </a:prstGeom>
        <a:solidFill>
          <a:srgbClr val="0388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0</xdr:col>
      <xdr:colOff>0</xdr:colOff>
      <xdr:row>27</xdr:row>
      <xdr:rowOff>0</xdr:rowOff>
    </xdr:from>
    <xdr:to>
      <xdr:col>3</xdr:col>
      <xdr:colOff>596128</xdr:colOff>
      <xdr:row>34</xdr:row>
      <xdr:rowOff>0</xdr:rowOff>
    </xdr:to>
    <mc:AlternateContent xmlns:mc="http://schemas.openxmlformats.org/markup-compatibility/2006" xmlns:tsle="http://schemas.microsoft.com/office/drawing/2012/timeslicer">
      <mc:Choice Requires="tsle">
        <xdr:graphicFrame macro="">
          <xdr:nvGraphicFramePr>
            <xdr:cNvPr id="72" name="Date of Ticket">
              <a:extLst>
                <a:ext uri="{FF2B5EF4-FFF2-40B4-BE49-F238E27FC236}">
                  <a16:creationId xmlns:a16="http://schemas.microsoft.com/office/drawing/2014/main" id="{AF1185C7-0C57-466C-9C88-BC8B48200FE5}"/>
                </a:ext>
              </a:extLst>
            </xdr:cNvPr>
            <xdr:cNvGraphicFramePr/>
          </xdr:nvGraphicFramePr>
          <xdr:xfrm>
            <a:off x="0" y="0"/>
            <a:ext cx="0" cy="0"/>
          </xdr:xfrm>
          <a:graphic>
            <a:graphicData uri="http://schemas.microsoft.com/office/drawing/2012/timeslicer">
              <tsle:timeslicer name="Date of Ticket"/>
            </a:graphicData>
          </a:graphic>
        </xdr:graphicFrame>
      </mc:Choice>
      <mc:Fallback xmlns="">
        <xdr:sp macro="" textlink="">
          <xdr:nvSpPr>
            <xdr:cNvPr id="0" name=""/>
            <xdr:cNvSpPr>
              <a:spLocks noTextEdit="1"/>
            </xdr:cNvSpPr>
          </xdr:nvSpPr>
          <xdr:spPr>
            <a:xfrm>
              <a:off x="0" y="4924628"/>
              <a:ext cx="2541660" cy="1276755"/>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fLocksWithSheet="0"/>
  </xdr:twoCellAnchor>
  <xdr:twoCellAnchor>
    <xdr:from>
      <xdr:col>0</xdr:col>
      <xdr:colOff>124944</xdr:colOff>
      <xdr:row>7</xdr:row>
      <xdr:rowOff>53554</xdr:rowOff>
    </xdr:from>
    <xdr:to>
      <xdr:col>2</xdr:col>
      <xdr:colOff>582643</xdr:colOff>
      <xdr:row>7</xdr:row>
      <xdr:rowOff>53554</xdr:rowOff>
    </xdr:to>
    <xdr:cxnSp macro="">
      <xdr:nvCxnSpPr>
        <xdr:cNvPr id="74" name="Straight Connector 73">
          <a:extLst>
            <a:ext uri="{FF2B5EF4-FFF2-40B4-BE49-F238E27FC236}">
              <a16:creationId xmlns:a16="http://schemas.microsoft.com/office/drawing/2014/main" id="{9F0BD0C4-170F-2FC3-75B1-72FC3D5F5899}"/>
            </a:ext>
          </a:extLst>
        </xdr:cNvPr>
        <xdr:cNvCxnSpPr/>
      </xdr:nvCxnSpPr>
      <xdr:spPr>
        <a:xfrm>
          <a:off x="124944" y="1330309"/>
          <a:ext cx="1754720" cy="0"/>
        </a:xfrm>
        <a:prstGeom prst="line">
          <a:avLst/>
        </a:prstGeom>
        <a:ln>
          <a:solidFill>
            <a:schemeClr val="bg1"/>
          </a:solidFill>
        </a:ln>
      </xdr:spPr>
      <xdr:style>
        <a:lnRef idx="3">
          <a:schemeClr val="dk1"/>
        </a:lnRef>
        <a:fillRef idx="0">
          <a:schemeClr val="dk1"/>
        </a:fillRef>
        <a:effectRef idx="2">
          <a:schemeClr val="dk1"/>
        </a:effectRef>
        <a:fontRef idx="minor">
          <a:schemeClr val="tx1"/>
        </a:fontRef>
      </xdr:style>
    </xdr:cxnSp>
    <xdr:clientData/>
  </xdr:twoCellAnchor>
  <xdr:twoCellAnchor>
    <xdr:from>
      <xdr:col>0</xdr:col>
      <xdr:colOff>0</xdr:colOff>
      <xdr:row>28</xdr:row>
      <xdr:rowOff>45594</xdr:rowOff>
    </xdr:from>
    <xdr:to>
      <xdr:col>3</xdr:col>
      <xdr:colOff>596128</xdr:colOff>
      <xdr:row>28</xdr:row>
      <xdr:rowOff>45594</xdr:rowOff>
    </xdr:to>
    <xdr:cxnSp macro="">
      <xdr:nvCxnSpPr>
        <xdr:cNvPr id="75" name="Straight Connector 74">
          <a:extLst>
            <a:ext uri="{FF2B5EF4-FFF2-40B4-BE49-F238E27FC236}">
              <a16:creationId xmlns:a16="http://schemas.microsoft.com/office/drawing/2014/main" id="{7BC45CC3-8F50-44F6-95CD-0EF2B2A46620}"/>
            </a:ext>
          </a:extLst>
        </xdr:cNvPr>
        <xdr:cNvCxnSpPr/>
      </xdr:nvCxnSpPr>
      <xdr:spPr>
        <a:xfrm>
          <a:off x="0" y="5152615"/>
          <a:ext cx="2541660"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162128</xdr:colOff>
      <xdr:row>1</xdr:row>
      <xdr:rowOff>164597</xdr:rowOff>
    </xdr:from>
    <xdr:to>
      <xdr:col>22</xdr:col>
      <xdr:colOff>557314</xdr:colOff>
      <xdr:row>7</xdr:row>
      <xdr:rowOff>2636</xdr:rowOff>
    </xdr:to>
    <xdr:grpSp>
      <xdr:nvGrpSpPr>
        <xdr:cNvPr id="30" name="Group 29">
          <a:extLst>
            <a:ext uri="{FF2B5EF4-FFF2-40B4-BE49-F238E27FC236}">
              <a16:creationId xmlns:a16="http://schemas.microsoft.com/office/drawing/2014/main" id="{8F0313C6-4C92-C05B-FAD1-E618CF8779C8}"/>
            </a:ext>
          </a:extLst>
        </xdr:cNvPr>
        <xdr:cNvGrpSpPr/>
      </xdr:nvGrpSpPr>
      <xdr:grpSpPr>
        <a:xfrm>
          <a:off x="13132341" y="346991"/>
          <a:ext cx="1692207" cy="932400"/>
          <a:chOff x="13132341" y="346991"/>
          <a:chExt cx="1692207" cy="932400"/>
        </a:xfrm>
      </xdr:grpSpPr>
      <xdr:grpSp>
        <xdr:nvGrpSpPr>
          <xdr:cNvPr id="21" name="Group 20">
            <a:extLst>
              <a:ext uri="{FF2B5EF4-FFF2-40B4-BE49-F238E27FC236}">
                <a16:creationId xmlns:a16="http://schemas.microsoft.com/office/drawing/2014/main" id="{5323A1EF-4C78-D7B7-1A66-97255895D5D8}"/>
              </a:ext>
            </a:extLst>
          </xdr:cNvPr>
          <xdr:cNvGrpSpPr/>
        </xdr:nvGrpSpPr>
        <xdr:grpSpPr>
          <a:xfrm>
            <a:off x="13132341" y="346991"/>
            <a:ext cx="1692207" cy="932400"/>
            <a:chOff x="13132341" y="346991"/>
            <a:chExt cx="1692207" cy="932400"/>
          </a:xfrm>
        </xdr:grpSpPr>
        <xdr:grpSp>
          <xdr:nvGrpSpPr>
            <xdr:cNvPr id="15" name="Group 14">
              <a:extLst>
                <a:ext uri="{FF2B5EF4-FFF2-40B4-BE49-F238E27FC236}">
                  <a16:creationId xmlns:a16="http://schemas.microsoft.com/office/drawing/2014/main" id="{2CC111FD-D37F-4A79-866B-CD1FC6015D9E}"/>
                </a:ext>
              </a:extLst>
            </xdr:cNvPr>
            <xdr:cNvGrpSpPr/>
          </xdr:nvGrpSpPr>
          <xdr:grpSpPr>
            <a:xfrm>
              <a:off x="13132341" y="346991"/>
              <a:ext cx="1692207" cy="932400"/>
              <a:chOff x="12654619" y="343664"/>
              <a:chExt cx="2048461" cy="1047600"/>
            </a:xfrm>
          </xdr:grpSpPr>
          <xdr:sp macro="" textlink="">
            <xdr:nvSpPr>
              <xdr:cNvPr id="17" name="Rectangle: Rounded Corners 2">
                <a:extLst>
                  <a:ext uri="{FF2B5EF4-FFF2-40B4-BE49-F238E27FC236}">
                    <a16:creationId xmlns:a16="http://schemas.microsoft.com/office/drawing/2014/main" id="{4FD773E0-DBF0-B262-E106-F862CA967D54}"/>
                  </a:ext>
                </a:extLst>
              </xdr:cNvPr>
              <xdr:cNvSpPr/>
            </xdr:nvSpPr>
            <xdr:spPr>
              <a:xfrm>
                <a:off x="12686803" y="343664"/>
                <a:ext cx="1987199" cy="1047600"/>
              </a:xfrm>
              <a:prstGeom prst="flowChartAlternateProcess">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18" name="TextBox 17">
                <a:extLst>
                  <a:ext uri="{FF2B5EF4-FFF2-40B4-BE49-F238E27FC236}">
                    <a16:creationId xmlns:a16="http://schemas.microsoft.com/office/drawing/2014/main" id="{E4576A0C-E0B0-E7A5-1D32-29528AB55AD0}"/>
                  </a:ext>
                </a:extLst>
              </xdr:cNvPr>
              <xdr:cNvSpPr txBox="1"/>
            </xdr:nvSpPr>
            <xdr:spPr>
              <a:xfrm>
                <a:off x="12654619" y="418230"/>
                <a:ext cx="2048461" cy="338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300" b="0">
                    <a:solidFill>
                      <a:sysClr val="windowText" lastClr="000000"/>
                    </a:solidFill>
                    <a:latin typeface="Segoe UI" panose="020B0502040204020203" pitchFamily="34" charset="0"/>
                    <a:cs typeface="Segoe UI" panose="020B0502040204020203" pitchFamily="34" charset="0"/>
                  </a:rPr>
                  <a:t>Avg Resolution Time</a:t>
                </a:r>
              </a:p>
              <a:p>
                <a:pPr algn="ctr"/>
                <a:endParaRPr lang="en-GB" sz="1300" b="0">
                  <a:solidFill>
                    <a:sysClr val="windowText" lastClr="000000"/>
                  </a:solidFill>
                  <a:latin typeface="Segoe UI" panose="020B0502040204020203" pitchFamily="34" charset="0"/>
                  <a:cs typeface="Segoe UI" panose="020B0502040204020203" pitchFamily="34" charset="0"/>
                </a:endParaRPr>
              </a:p>
            </xdr:txBody>
          </xdr:sp>
          <xdr:sp macro="" textlink="KPIs!B48">
            <xdr:nvSpPr>
              <xdr:cNvPr id="19" name="TextBox 18">
                <a:extLst>
                  <a:ext uri="{FF2B5EF4-FFF2-40B4-BE49-F238E27FC236}">
                    <a16:creationId xmlns:a16="http://schemas.microsoft.com/office/drawing/2014/main" id="{A1B816C6-06B4-9C24-FE09-7764B3970E61}"/>
                  </a:ext>
                </a:extLst>
              </xdr:cNvPr>
              <xdr:cNvSpPr txBox="1"/>
            </xdr:nvSpPr>
            <xdr:spPr>
              <a:xfrm>
                <a:off x="13402246" y="850582"/>
                <a:ext cx="789149" cy="3107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fld id="{8B3CFD74-E1ED-4768-B3F0-59E96F4197CB}" type="TxLink">
                  <a:rPr lang="en-US" sz="1600" b="1" i="0" u="none" strike="noStrike">
                    <a:solidFill>
                      <a:srgbClr val="0388A6"/>
                    </a:solidFill>
                    <a:latin typeface="Segoe UI" panose="020B0502040204020203" pitchFamily="34" charset="0"/>
                    <a:ea typeface="Calibri"/>
                    <a:cs typeface="Segoe UI" panose="020B0502040204020203" pitchFamily="34" charset="0"/>
                  </a:rPr>
                  <a:pPr marL="0" indent="0" algn="r"/>
                  <a:t>7</a:t>
                </a:fld>
                <a:endParaRPr lang="en-GB" sz="1600" b="1">
                  <a:solidFill>
                    <a:srgbClr val="0388A6"/>
                  </a:solidFill>
                  <a:latin typeface="Segoe UI" panose="020B0502040204020203" pitchFamily="34" charset="0"/>
                  <a:ea typeface="+mn-ea"/>
                  <a:cs typeface="Segoe UI" panose="020B0502040204020203" pitchFamily="34" charset="0"/>
                </a:endParaRPr>
              </a:p>
            </xdr:txBody>
          </xdr:sp>
        </xdr:grpSp>
        <xdr:pic>
          <xdr:nvPicPr>
            <xdr:cNvPr id="12" name="Graphic 11" descr="Stopwatch with solid fill">
              <a:extLst>
                <a:ext uri="{FF2B5EF4-FFF2-40B4-BE49-F238E27FC236}">
                  <a16:creationId xmlns:a16="http://schemas.microsoft.com/office/drawing/2014/main" id="{AF70EEFB-41D8-EAA5-9D1E-52A25D02EE9A}"/>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13279268" y="757340"/>
              <a:ext cx="435717" cy="435717"/>
            </a:xfrm>
            <a:prstGeom prst="rect">
              <a:avLst/>
            </a:prstGeom>
          </xdr:spPr>
        </xdr:pic>
      </xdr:grpSp>
      <xdr:sp macro="" textlink="KPIs!B48">
        <xdr:nvSpPr>
          <xdr:cNvPr id="22" name="TextBox 21">
            <a:extLst>
              <a:ext uri="{FF2B5EF4-FFF2-40B4-BE49-F238E27FC236}">
                <a16:creationId xmlns:a16="http://schemas.microsoft.com/office/drawing/2014/main" id="{1E4B949B-89A0-4463-884D-2738EAF82C14}"/>
              </a:ext>
            </a:extLst>
          </xdr:cNvPr>
          <xdr:cNvSpPr txBox="1"/>
        </xdr:nvSpPr>
        <xdr:spPr>
          <a:xfrm>
            <a:off x="14231772" y="787776"/>
            <a:ext cx="525244" cy="276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r"/>
            <a:r>
              <a:rPr lang="en-GB" sz="1600" b="1">
                <a:solidFill>
                  <a:srgbClr val="0388A6"/>
                </a:solidFill>
                <a:latin typeface="Segoe UI" panose="020B0502040204020203" pitchFamily="34" charset="0"/>
                <a:ea typeface="+mn-ea"/>
                <a:cs typeface="Segoe UI" panose="020B0502040204020203" pitchFamily="34" charset="0"/>
              </a:rPr>
              <a:t>hrs</a:t>
            </a:r>
          </a:p>
        </xdr:txBody>
      </xdr:sp>
    </xdr:grpSp>
    <xdr:clientData/>
  </xdr:twoCellAnchor>
  <xdr:twoCellAnchor editAs="absolute">
    <xdr:from>
      <xdr:col>0</xdr:col>
      <xdr:colOff>0</xdr:colOff>
      <xdr:row>12</xdr:row>
      <xdr:rowOff>157061</xdr:rowOff>
    </xdr:from>
    <xdr:to>
      <xdr:col>4</xdr:col>
      <xdr:colOff>0</xdr:colOff>
      <xdr:row>19</xdr:row>
      <xdr:rowOff>157060</xdr:rowOff>
    </xdr:to>
    <mc:AlternateContent xmlns:mc="http://schemas.openxmlformats.org/markup-compatibility/2006" xmlns:a14="http://schemas.microsoft.com/office/drawing/2010/main">
      <mc:Choice Requires="a14">
        <xdr:graphicFrame macro="">
          <xdr:nvGraphicFramePr>
            <xdr:cNvPr id="29" name="Select a Department 1">
              <a:extLst>
                <a:ext uri="{FF2B5EF4-FFF2-40B4-BE49-F238E27FC236}">
                  <a16:creationId xmlns:a16="http://schemas.microsoft.com/office/drawing/2014/main" id="{4F5F4A99-5C27-4584-9830-AD0CBD8A8D1E}"/>
                </a:ext>
              </a:extLst>
            </xdr:cNvPr>
            <xdr:cNvGraphicFramePr/>
          </xdr:nvGraphicFramePr>
          <xdr:xfrm>
            <a:off x="0" y="0"/>
            <a:ext cx="0" cy="0"/>
          </xdr:xfrm>
          <a:graphic>
            <a:graphicData uri="http://schemas.microsoft.com/office/drawing/2010/slicer">
              <sle:slicer xmlns:sle="http://schemas.microsoft.com/office/drawing/2010/slicer" name="Select a Department 1"/>
            </a:graphicData>
          </a:graphic>
        </xdr:graphicFrame>
      </mc:Choice>
      <mc:Fallback xmlns="">
        <xdr:sp macro="" textlink="">
          <xdr:nvSpPr>
            <xdr:cNvPr id="0" name=""/>
            <xdr:cNvSpPr>
              <a:spLocks noTextEdit="1"/>
            </xdr:cNvSpPr>
          </xdr:nvSpPr>
          <xdr:spPr>
            <a:xfrm>
              <a:off x="0" y="2345784"/>
              <a:ext cx="2594043" cy="127675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30415</xdr:colOff>
      <xdr:row>14</xdr:row>
      <xdr:rowOff>75981</xdr:rowOff>
    </xdr:from>
    <xdr:to>
      <xdr:col>3</xdr:col>
      <xdr:colOff>626543</xdr:colOff>
      <xdr:row>14</xdr:row>
      <xdr:rowOff>75981</xdr:rowOff>
    </xdr:to>
    <xdr:cxnSp macro="">
      <xdr:nvCxnSpPr>
        <xdr:cNvPr id="27" name="Straight Connector 26">
          <a:extLst>
            <a:ext uri="{FF2B5EF4-FFF2-40B4-BE49-F238E27FC236}">
              <a16:creationId xmlns:a16="http://schemas.microsoft.com/office/drawing/2014/main" id="{E391CA8D-33ED-4CB9-ABF8-9B963AC96214}"/>
            </a:ext>
          </a:extLst>
        </xdr:cNvPr>
        <xdr:cNvCxnSpPr/>
      </xdr:nvCxnSpPr>
      <xdr:spPr>
        <a:xfrm>
          <a:off x="30415" y="2629492"/>
          <a:ext cx="2541660" cy="0"/>
        </a:xfrm>
        <a:prstGeom prst="line">
          <a:avLst/>
        </a:prstGeom>
        <a:ln>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452437</xdr:colOff>
      <xdr:row>0</xdr:row>
      <xdr:rowOff>180975</xdr:rowOff>
    </xdr:from>
    <xdr:to>
      <xdr:col>4</xdr:col>
      <xdr:colOff>1643062</xdr:colOff>
      <xdr:row>1</xdr:row>
      <xdr:rowOff>76200</xdr:rowOff>
    </xdr:to>
    <xdr:sp macro="[0]!Send_Bulk_Email" textlink="">
      <xdr:nvSpPr>
        <xdr:cNvPr id="2" name="Rectangle: Rounded Corners 1">
          <a:extLst>
            <a:ext uri="{FF2B5EF4-FFF2-40B4-BE49-F238E27FC236}">
              <a16:creationId xmlns:a16="http://schemas.microsoft.com/office/drawing/2014/main" id="{91AA4670-513D-5DDD-2F7D-B394B549024A}"/>
            </a:ext>
          </a:extLst>
        </xdr:cNvPr>
        <xdr:cNvSpPr/>
      </xdr:nvSpPr>
      <xdr:spPr>
        <a:xfrm>
          <a:off x="9367837" y="180975"/>
          <a:ext cx="1190625" cy="261938"/>
        </a:xfrm>
        <a:prstGeom prst="roundRect">
          <a:avLst/>
        </a:prstGeom>
        <a:solidFill>
          <a:srgbClr val="0388A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b="1">
              <a:solidFill>
                <a:schemeClr val="bg1"/>
              </a:solidFill>
              <a:latin typeface="Segoe UI" panose="020B0502040204020203" pitchFamily="34" charset="0"/>
              <a:cs typeface="Segoe UI" panose="020B0502040204020203" pitchFamily="34" charset="0"/>
            </a:rPr>
            <a:t>Send Email</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hioma Nnaoma" refreshedDate="45583.709637731481" createdVersion="8" refreshedVersion="8" minRefreshableVersion="3" recordCount="59" xr:uid="{A56FDFB2-57D3-4E69-BFA2-8154EB92DDA1}">
  <cacheSource type="worksheet">
    <worksheetSource name="Customer_Suport_Report"/>
  </cacheSource>
  <cacheFields count="19">
    <cacheField name="Ticket ID" numFmtId="0">
      <sharedItems containsSemiMixedTypes="0" containsString="0" containsNumber="1" containsInteger="1" minValue="1" maxValue="59"/>
    </cacheField>
    <cacheField name="Date of Ticket" numFmtId="14">
      <sharedItems containsSemiMixedTypes="0" containsNonDate="0" containsDate="1" containsString="0" minDate="2024-07-01T00:00:00" maxDate="2024-09-29T00:00:00" count="53">
        <d v="2024-08-01T00:00:00"/>
        <d v="2024-08-03T00:00:00"/>
        <d v="2024-08-05T00:00:00"/>
        <d v="2024-08-07T00:00:00"/>
        <d v="2024-08-10T00:00:00"/>
        <d v="2024-08-12T00:00:00"/>
        <d v="2024-08-15T00:00:00"/>
        <d v="2024-08-16T00:00:00"/>
        <d v="2024-08-17T00:00:00"/>
        <d v="2024-08-19T00:00:00"/>
        <d v="2024-07-20T00:00:00"/>
        <d v="2024-08-21T00:00:00"/>
        <d v="2024-08-23T00:00:00"/>
        <d v="2024-08-24T00:00:00"/>
        <d v="2024-08-25T00:00:00"/>
        <d v="2024-08-26T00:00:00"/>
        <d v="2024-08-27T00:00:00"/>
        <d v="2024-08-28T00:00:00"/>
        <d v="2024-08-29T00:00:00"/>
        <d v="2024-08-31T00:00:00"/>
        <d v="2024-07-01T00:00:00"/>
        <d v="2024-07-03T00:00:00"/>
        <d v="2024-07-05T00:00:00"/>
        <d v="2024-07-07T00:00:00"/>
        <d v="2024-07-08T00:00:00"/>
        <d v="2024-07-09T00:00:00"/>
        <d v="2024-07-11T00:00:00"/>
        <d v="2024-07-13T00:00:00"/>
        <d v="2024-07-14T00:00:00"/>
        <d v="2024-07-15T00:00:00"/>
        <d v="2024-07-17T00:00:00"/>
        <d v="2024-07-19T00:00:00"/>
        <d v="2024-07-21T00:00:00"/>
        <d v="2024-07-23T00:00:00"/>
        <d v="2024-07-25T00:00:00"/>
        <d v="2024-07-27T00:00:00"/>
        <d v="2024-07-29T00:00:00"/>
        <d v="2024-07-31T00:00:00"/>
        <d v="2024-09-01T00:00:00"/>
        <d v="2024-09-03T00:00:00"/>
        <d v="2024-09-05T00:00:00"/>
        <d v="2024-09-07T00:00:00"/>
        <d v="2024-09-10T00:00:00"/>
        <d v="2024-09-12T00:00:00"/>
        <d v="2024-09-13T00:00:00"/>
        <d v="2024-09-14T00:00:00"/>
        <d v="2024-09-16T00:00:00"/>
        <d v="2024-09-18T00:00:00"/>
        <d v="2024-09-20T00:00:00"/>
        <d v="2024-09-22T00:00:00"/>
        <d v="2024-09-24T00:00:00"/>
        <d v="2024-09-26T00:00:00"/>
        <d v="2024-09-28T00:00:00"/>
      </sharedItems>
      <fieldGroup par="18"/>
    </cacheField>
    <cacheField name="Support Agent" numFmtId="0">
      <sharedItems count="5">
        <s v="Sarah David"/>
        <s v="Chisom Mark"/>
        <s v="Henry Clark"/>
        <s v="Bimbo Akin"/>
        <s v="Joseph McBride"/>
      </sharedItems>
    </cacheField>
    <cacheField name="Issue Type" numFmtId="0">
      <sharedItems count="3">
        <s v="Billing"/>
        <s v="Technical"/>
        <s v="Account"/>
      </sharedItems>
    </cacheField>
    <cacheField name="Ticket Status" numFmtId="0">
      <sharedItems count="3">
        <s v="Closed"/>
        <s v="Open"/>
        <s v="In Progress"/>
      </sharedItems>
    </cacheField>
    <cacheField name="Customer Name" numFmtId="0">
      <sharedItems/>
    </cacheField>
    <cacheField name="Customer Email" numFmtId="0">
      <sharedItems/>
    </cacheField>
    <cacheField name="Priority" numFmtId="0">
      <sharedItems count="4">
        <s v="High"/>
        <s v="Medium"/>
        <s v="Low"/>
        <s v="Critical"/>
      </sharedItems>
    </cacheField>
    <cacheField name="Resolution Time (hrs)" numFmtId="0">
      <sharedItems containsMixedTypes="1" containsNumber="1" containsInteger="1" minValue="2" maxValue="12" count="12">
        <n v="6"/>
        <s v="N/A"/>
        <n v="4"/>
        <n v="10"/>
        <n v="5"/>
        <n v="8"/>
        <n v="3"/>
        <n v="12"/>
        <n v="7"/>
        <n v="9"/>
        <n v="11"/>
        <n v="2"/>
      </sharedItems>
    </cacheField>
    <cacheField name="Customer Satisfaction" numFmtId="0">
      <sharedItems containsMixedTypes="1" containsNumber="1" containsInteger="1" minValue="2" maxValue="5" count="5">
        <n v="5"/>
        <s v="N/A"/>
        <n v="4"/>
        <n v="3"/>
        <n v="2"/>
      </sharedItems>
    </cacheField>
    <cacheField name="Channel" numFmtId="0">
      <sharedItems count="4">
        <s v="Email"/>
        <s v="Phone"/>
        <s v="Chat"/>
        <s v="Web"/>
      </sharedItems>
    </cacheField>
    <cacheField name="Reopened Tickets" numFmtId="0">
      <sharedItems count="2">
        <s v="No"/>
        <s v="Yes"/>
      </sharedItems>
    </cacheField>
    <cacheField name="Assigned Department" numFmtId="0">
      <sharedItems count="3">
        <s v="Billing"/>
        <s v="Technical Support"/>
        <s v="Account Management"/>
      </sharedItems>
    </cacheField>
    <cacheField name="Resolution Type" numFmtId="0">
      <sharedItems count="3">
        <s v="Issue Fixed"/>
        <s v="N/A"/>
        <s v="Account Updated"/>
      </sharedItems>
    </cacheField>
    <cacheField name="Follow-up Required" numFmtId="0">
      <sharedItems count="2">
        <s v="No"/>
        <s v="Yes"/>
      </sharedItems>
    </cacheField>
    <cacheField name="First Response Time (hrs)" numFmtId="0">
      <sharedItems containsSemiMixedTypes="0" containsString="0" containsNumber="1" minValue="0.5" maxValue="2" count="4">
        <n v="1"/>
        <n v="2"/>
        <n v="0.5"/>
        <n v="1.5"/>
      </sharedItems>
    </cacheField>
    <cacheField name="Ticket Source" numFmtId="0">
      <sharedItems count="2">
        <s v="Reactive"/>
        <s v="Proactive"/>
      </sharedItems>
    </cacheField>
    <cacheField name="Days (Date of Ticket)" numFmtId="0" databaseField="0">
      <fieldGroup base="1">
        <rangePr groupBy="days" startDate="2024-07-01T00:00:00" endDate="2024-09-29T00:00:00"/>
        <groupItems count="368">
          <s v="&lt;01/07/2024"/>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29/09/2024"/>
        </groupItems>
      </fieldGroup>
    </cacheField>
    <cacheField name="Months (Date of Ticket)" numFmtId="0" databaseField="0">
      <fieldGroup base="1">
        <rangePr groupBy="months" startDate="2024-07-01T00:00:00" endDate="2024-09-29T00:00:00"/>
        <groupItems count="14">
          <s v="&lt;01/07/2024"/>
          <s v="Jan"/>
          <s v="Feb"/>
          <s v="Mar"/>
          <s v="Apr"/>
          <s v="May"/>
          <s v="Jun"/>
          <s v="Jul"/>
          <s v="Aug"/>
          <s v="Sep"/>
          <s v="Oct"/>
          <s v="Nov"/>
          <s v="Dec"/>
          <s v="&gt;29/09/2024"/>
        </groupItems>
      </fieldGroup>
    </cacheField>
  </cacheFields>
  <extLst>
    <ext xmlns:x14="http://schemas.microsoft.com/office/spreadsheetml/2009/9/main" uri="{725AE2AE-9491-48be-B2B4-4EB974FC3084}">
      <x14:pivotCacheDefinition pivotCacheId="17620039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
  <r>
    <n v="1"/>
    <x v="0"/>
    <x v="0"/>
    <x v="0"/>
    <x v="0"/>
    <s v="Alpha Corp"/>
    <s v="support@alphacorp.com"/>
    <x v="0"/>
    <x v="0"/>
    <x v="0"/>
    <x v="0"/>
    <x v="0"/>
    <x v="0"/>
    <x v="0"/>
    <x v="0"/>
    <x v="0"/>
    <x v="0"/>
  </r>
  <r>
    <n v="2"/>
    <x v="1"/>
    <x v="1"/>
    <x v="1"/>
    <x v="1"/>
    <s v="Beta Solutions"/>
    <s v="help@betasolutions.co.uk"/>
    <x v="1"/>
    <x v="1"/>
    <x v="1"/>
    <x v="1"/>
    <x v="0"/>
    <x v="1"/>
    <x v="1"/>
    <x v="1"/>
    <x v="1"/>
    <x v="0"/>
  </r>
  <r>
    <n v="3"/>
    <x v="2"/>
    <x v="2"/>
    <x v="2"/>
    <x v="0"/>
    <s v="Gamma Systems"/>
    <s v="info@gammasystems.com"/>
    <x v="2"/>
    <x v="2"/>
    <x v="2"/>
    <x v="2"/>
    <x v="0"/>
    <x v="2"/>
    <x v="2"/>
    <x v="0"/>
    <x v="0"/>
    <x v="0"/>
  </r>
  <r>
    <n v="4"/>
    <x v="3"/>
    <x v="3"/>
    <x v="1"/>
    <x v="0"/>
    <s v="Delta Tech"/>
    <s v="contact@deltatech.com"/>
    <x v="3"/>
    <x v="3"/>
    <x v="3"/>
    <x v="3"/>
    <x v="1"/>
    <x v="1"/>
    <x v="0"/>
    <x v="1"/>
    <x v="2"/>
    <x v="1"/>
  </r>
  <r>
    <n v="5"/>
    <x v="4"/>
    <x v="0"/>
    <x v="0"/>
    <x v="2"/>
    <s v="Epsilon Inno"/>
    <s v="support@epsiloninno.co.uk"/>
    <x v="0"/>
    <x v="1"/>
    <x v="1"/>
    <x v="0"/>
    <x v="0"/>
    <x v="0"/>
    <x v="1"/>
    <x v="1"/>
    <x v="0"/>
    <x v="0"/>
  </r>
  <r>
    <n v="6"/>
    <x v="5"/>
    <x v="0"/>
    <x v="2"/>
    <x v="0"/>
    <s v="Zeta Corp"/>
    <s v="hello@zetacorp.com"/>
    <x v="1"/>
    <x v="4"/>
    <x v="0"/>
    <x v="1"/>
    <x v="0"/>
    <x v="2"/>
    <x v="2"/>
    <x v="0"/>
    <x v="1"/>
    <x v="0"/>
  </r>
  <r>
    <n v="7"/>
    <x v="6"/>
    <x v="1"/>
    <x v="0"/>
    <x v="1"/>
    <s v="Theta Enterprises"/>
    <s v="contact@thetaent.com"/>
    <x v="0"/>
    <x v="1"/>
    <x v="1"/>
    <x v="0"/>
    <x v="0"/>
    <x v="0"/>
    <x v="1"/>
    <x v="1"/>
    <x v="3"/>
    <x v="0"/>
  </r>
  <r>
    <n v="8"/>
    <x v="6"/>
    <x v="2"/>
    <x v="1"/>
    <x v="0"/>
    <s v="Iota Systems"/>
    <s v="info@iotasystems.com"/>
    <x v="2"/>
    <x v="5"/>
    <x v="2"/>
    <x v="3"/>
    <x v="1"/>
    <x v="1"/>
    <x v="0"/>
    <x v="0"/>
    <x v="1"/>
    <x v="1"/>
  </r>
  <r>
    <n v="9"/>
    <x v="7"/>
    <x v="3"/>
    <x v="2"/>
    <x v="0"/>
    <s v="Kappa Technologies"/>
    <s v="support@kappatech.com"/>
    <x v="1"/>
    <x v="6"/>
    <x v="0"/>
    <x v="2"/>
    <x v="0"/>
    <x v="2"/>
    <x v="2"/>
    <x v="0"/>
    <x v="3"/>
    <x v="0"/>
  </r>
  <r>
    <n v="10"/>
    <x v="7"/>
    <x v="4"/>
    <x v="0"/>
    <x v="1"/>
    <s v="Lambda Corp"/>
    <s v="contact@lambdacorp.com"/>
    <x v="0"/>
    <x v="1"/>
    <x v="1"/>
    <x v="1"/>
    <x v="0"/>
    <x v="0"/>
    <x v="1"/>
    <x v="1"/>
    <x v="1"/>
    <x v="0"/>
  </r>
  <r>
    <n v="11"/>
    <x v="7"/>
    <x v="0"/>
    <x v="1"/>
    <x v="0"/>
    <s v="Mu Enterprises"/>
    <s v="info@muenterprises.com"/>
    <x v="3"/>
    <x v="7"/>
    <x v="4"/>
    <x v="0"/>
    <x v="1"/>
    <x v="1"/>
    <x v="0"/>
    <x v="1"/>
    <x v="0"/>
    <x v="1"/>
  </r>
  <r>
    <n v="12"/>
    <x v="8"/>
    <x v="1"/>
    <x v="2"/>
    <x v="0"/>
    <s v="Nu Systems"/>
    <s v="support@nusystems.com"/>
    <x v="2"/>
    <x v="2"/>
    <x v="0"/>
    <x v="2"/>
    <x v="0"/>
    <x v="2"/>
    <x v="2"/>
    <x v="0"/>
    <x v="2"/>
    <x v="0"/>
  </r>
  <r>
    <n v="13"/>
    <x v="9"/>
    <x v="1"/>
    <x v="0"/>
    <x v="0"/>
    <s v="Xi Corp"/>
    <s v="help@xicorp.co.uk"/>
    <x v="0"/>
    <x v="8"/>
    <x v="3"/>
    <x v="1"/>
    <x v="1"/>
    <x v="0"/>
    <x v="0"/>
    <x v="1"/>
    <x v="0"/>
    <x v="0"/>
  </r>
  <r>
    <n v="14"/>
    <x v="10"/>
    <x v="3"/>
    <x v="1"/>
    <x v="2"/>
    <s v="Omicron Solutions"/>
    <s v="contact@omicronsolutions.com"/>
    <x v="1"/>
    <x v="1"/>
    <x v="1"/>
    <x v="3"/>
    <x v="0"/>
    <x v="1"/>
    <x v="1"/>
    <x v="1"/>
    <x v="1"/>
    <x v="1"/>
  </r>
  <r>
    <n v="15"/>
    <x v="11"/>
    <x v="4"/>
    <x v="2"/>
    <x v="0"/>
    <s v="Pi Technologies"/>
    <s v="support@pitech.co.uk"/>
    <x v="2"/>
    <x v="4"/>
    <x v="2"/>
    <x v="2"/>
    <x v="0"/>
    <x v="2"/>
    <x v="2"/>
    <x v="0"/>
    <x v="0"/>
    <x v="0"/>
  </r>
  <r>
    <n v="16"/>
    <x v="12"/>
    <x v="0"/>
    <x v="0"/>
    <x v="1"/>
    <s v="Rho Enterprises"/>
    <s v="support@rhoenterprises.com"/>
    <x v="3"/>
    <x v="1"/>
    <x v="1"/>
    <x v="1"/>
    <x v="0"/>
    <x v="0"/>
    <x v="1"/>
    <x v="1"/>
    <x v="2"/>
    <x v="0"/>
  </r>
  <r>
    <n v="17"/>
    <x v="13"/>
    <x v="1"/>
    <x v="1"/>
    <x v="0"/>
    <s v="Sigma Systems"/>
    <s v="help@sigmasystems.com"/>
    <x v="1"/>
    <x v="9"/>
    <x v="3"/>
    <x v="3"/>
    <x v="1"/>
    <x v="1"/>
    <x v="0"/>
    <x v="1"/>
    <x v="1"/>
    <x v="1"/>
  </r>
  <r>
    <n v="18"/>
    <x v="13"/>
    <x v="0"/>
    <x v="2"/>
    <x v="1"/>
    <s v="Tau Tech"/>
    <s v="support@tautech.com"/>
    <x v="2"/>
    <x v="1"/>
    <x v="0"/>
    <x v="2"/>
    <x v="0"/>
    <x v="2"/>
    <x v="1"/>
    <x v="0"/>
    <x v="3"/>
    <x v="0"/>
  </r>
  <r>
    <n v="19"/>
    <x v="14"/>
    <x v="1"/>
    <x v="0"/>
    <x v="0"/>
    <s v="Upsilon Corp"/>
    <s v="contact@upsiloncorp.com"/>
    <x v="0"/>
    <x v="0"/>
    <x v="2"/>
    <x v="0"/>
    <x v="0"/>
    <x v="0"/>
    <x v="0"/>
    <x v="0"/>
    <x v="0"/>
    <x v="0"/>
  </r>
  <r>
    <n v="20"/>
    <x v="15"/>
    <x v="4"/>
    <x v="1"/>
    <x v="0"/>
    <s v="Phi Enterprises"/>
    <s v="support@phienterprises.com"/>
    <x v="3"/>
    <x v="10"/>
    <x v="4"/>
    <x v="1"/>
    <x v="1"/>
    <x v="1"/>
    <x v="0"/>
    <x v="1"/>
    <x v="2"/>
    <x v="1"/>
  </r>
  <r>
    <n v="21"/>
    <x v="16"/>
    <x v="2"/>
    <x v="2"/>
    <x v="0"/>
    <s v="Gamma Systems"/>
    <s v="info@gammasystems.com"/>
    <x v="2"/>
    <x v="2"/>
    <x v="2"/>
    <x v="2"/>
    <x v="0"/>
    <x v="2"/>
    <x v="2"/>
    <x v="0"/>
    <x v="0"/>
    <x v="0"/>
  </r>
  <r>
    <n v="22"/>
    <x v="17"/>
    <x v="3"/>
    <x v="1"/>
    <x v="0"/>
    <s v="Delta Tech"/>
    <s v="contact@deltatech.com"/>
    <x v="3"/>
    <x v="3"/>
    <x v="3"/>
    <x v="3"/>
    <x v="1"/>
    <x v="1"/>
    <x v="0"/>
    <x v="1"/>
    <x v="2"/>
    <x v="1"/>
  </r>
  <r>
    <n v="23"/>
    <x v="18"/>
    <x v="0"/>
    <x v="0"/>
    <x v="2"/>
    <s v="Epsilon Inno"/>
    <s v="support@epsiloninno.co.uk"/>
    <x v="0"/>
    <x v="1"/>
    <x v="1"/>
    <x v="0"/>
    <x v="0"/>
    <x v="0"/>
    <x v="1"/>
    <x v="1"/>
    <x v="0"/>
    <x v="0"/>
  </r>
  <r>
    <n v="24"/>
    <x v="19"/>
    <x v="0"/>
    <x v="2"/>
    <x v="0"/>
    <s v="Zeta Corp"/>
    <s v="hello@zetacorp.com"/>
    <x v="1"/>
    <x v="4"/>
    <x v="0"/>
    <x v="1"/>
    <x v="0"/>
    <x v="2"/>
    <x v="2"/>
    <x v="0"/>
    <x v="1"/>
    <x v="0"/>
  </r>
  <r>
    <n v="25"/>
    <x v="20"/>
    <x v="0"/>
    <x v="0"/>
    <x v="0"/>
    <s v="Alpha Corp"/>
    <s v="support@alphacorp.com"/>
    <x v="0"/>
    <x v="0"/>
    <x v="0"/>
    <x v="0"/>
    <x v="0"/>
    <x v="0"/>
    <x v="0"/>
    <x v="0"/>
    <x v="0"/>
    <x v="0"/>
  </r>
  <r>
    <n v="26"/>
    <x v="21"/>
    <x v="1"/>
    <x v="1"/>
    <x v="1"/>
    <s v="Beta Solutions"/>
    <s v="help@betasolutions.co.uk"/>
    <x v="1"/>
    <x v="1"/>
    <x v="1"/>
    <x v="1"/>
    <x v="0"/>
    <x v="1"/>
    <x v="1"/>
    <x v="1"/>
    <x v="1"/>
    <x v="0"/>
  </r>
  <r>
    <n v="27"/>
    <x v="22"/>
    <x v="2"/>
    <x v="2"/>
    <x v="0"/>
    <s v="Gamma Systems"/>
    <s v="info@gammasystems.com"/>
    <x v="2"/>
    <x v="2"/>
    <x v="2"/>
    <x v="2"/>
    <x v="0"/>
    <x v="2"/>
    <x v="2"/>
    <x v="0"/>
    <x v="0"/>
    <x v="0"/>
  </r>
  <r>
    <n v="28"/>
    <x v="23"/>
    <x v="3"/>
    <x v="1"/>
    <x v="0"/>
    <s v="Delta Tech"/>
    <s v="contact@deltatech.com"/>
    <x v="3"/>
    <x v="3"/>
    <x v="3"/>
    <x v="3"/>
    <x v="1"/>
    <x v="1"/>
    <x v="0"/>
    <x v="1"/>
    <x v="2"/>
    <x v="1"/>
  </r>
  <r>
    <n v="29"/>
    <x v="23"/>
    <x v="4"/>
    <x v="0"/>
    <x v="2"/>
    <s v="Epsilon Inno"/>
    <s v="support@epsiloninno.co.uk"/>
    <x v="0"/>
    <x v="1"/>
    <x v="1"/>
    <x v="0"/>
    <x v="0"/>
    <x v="0"/>
    <x v="1"/>
    <x v="1"/>
    <x v="0"/>
    <x v="0"/>
  </r>
  <r>
    <n v="30"/>
    <x v="24"/>
    <x v="0"/>
    <x v="2"/>
    <x v="0"/>
    <s v="Zeta Corp"/>
    <s v="hello@zetacorp.com"/>
    <x v="1"/>
    <x v="4"/>
    <x v="0"/>
    <x v="1"/>
    <x v="0"/>
    <x v="2"/>
    <x v="2"/>
    <x v="0"/>
    <x v="1"/>
    <x v="0"/>
  </r>
  <r>
    <n v="31"/>
    <x v="25"/>
    <x v="1"/>
    <x v="0"/>
    <x v="1"/>
    <s v="Theta Enterprises"/>
    <s v="contact@thetaent.com"/>
    <x v="0"/>
    <x v="1"/>
    <x v="1"/>
    <x v="0"/>
    <x v="0"/>
    <x v="0"/>
    <x v="1"/>
    <x v="1"/>
    <x v="3"/>
    <x v="0"/>
  </r>
  <r>
    <n v="32"/>
    <x v="26"/>
    <x v="2"/>
    <x v="1"/>
    <x v="0"/>
    <s v="Iota Systems"/>
    <s v="info@iotasystems.com"/>
    <x v="2"/>
    <x v="5"/>
    <x v="2"/>
    <x v="3"/>
    <x v="1"/>
    <x v="1"/>
    <x v="0"/>
    <x v="0"/>
    <x v="1"/>
    <x v="1"/>
  </r>
  <r>
    <n v="33"/>
    <x v="27"/>
    <x v="3"/>
    <x v="2"/>
    <x v="0"/>
    <s v="Kappa Technologies"/>
    <s v="support@kappatech.com"/>
    <x v="1"/>
    <x v="6"/>
    <x v="0"/>
    <x v="2"/>
    <x v="0"/>
    <x v="2"/>
    <x v="2"/>
    <x v="0"/>
    <x v="3"/>
    <x v="0"/>
  </r>
  <r>
    <n v="34"/>
    <x v="28"/>
    <x v="4"/>
    <x v="0"/>
    <x v="1"/>
    <s v="Lambda Corp"/>
    <s v="contact@lambdacorp.com"/>
    <x v="0"/>
    <x v="1"/>
    <x v="1"/>
    <x v="1"/>
    <x v="0"/>
    <x v="0"/>
    <x v="1"/>
    <x v="1"/>
    <x v="1"/>
    <x v="0"/>
  </r>
  <r>
    <n v="35"/>
    <x v="29"/>
    <x v="0"/>
    <x v="1"/>
    <x v="0"/>
    <s v="Mu Enterprises"/>
    <s v="info@muenterprises.com"/>
    <x v="3"/>
    <x v="7"/>
    <x v="4"/>
    <x v="0"/>
    <x v="1"/>
    <x v="1"/>
    <x v="0"/>
    <x v="1"/>
    <x v="0"/>
    <x v="1"/>
  </r>
  <r>
    <n v="36"/>
    <x v="30"/>
    <x v="1"/>
    <x v="2"/>
    <x v="0"/>
    <s v="Nu Systems"/>
    <s v="support@nusystems.com"/>
    <x v="2"/>
    <x v="2"/>
    <x v="0"/>
    <x v="2"/>
    <x v="0"/>
    <x v="2"/>
    <x v="2"/>
    <x v="0"/>
    <x v="2"/>
    <x v="0"/>
  </r>
  <r>
    <n v="37"/>
    <x v="31"/>
    <x v="2"/>
    <x v="0"/>
    <x v="0"/>
    <s v="Xi Corp"/>
    <s v="help@xicorp.co.uk"/>
    <x v="0"/>
    <x v="8"/>
    <x v="3"/>
    <x v="1"/>
    <x v="1"/>
    <x v="0"/>
    <x v="0"/>
    <x v="1"/>
    <x v="0"/>
    <x v="0"/>
  </r>
  <r>
    <n v="38"/>
    <x v="10"/>
    <x v="3"/>
    <x v="1"/>
    <x v="2"/>
    <s v="Omicron Solutions"/>
    <s v="contact@omicronsolutions.com"/>
    <x v="1"/>
    <x v="1"/>
    <x v="1"/>
    <x v="3"/>
    <x v="0"/>
    <x v="1"/>
    <x v="1"/>
    <x v="1"/>
    <x v="1"/>
    <x v="1"/>
  </r>
  <r>
    <n v="39"/>
    <x v="32"/>
    <x v="4"/>
    <x v="2"/>
    <x v="0"/>
    <s v="Pi Technologies"/>
    <s v="support@pitech.co.uk"/>
    <x v="2"/>
    <x v="4"/>
    <x v="2"/>
    <x v="2"/>
    <x v="0"/>
    <x v="2"/>
    <x v="2"/>
    <x v="0"/>
    <x v="0"/>
    <x v="0"/>
  </r>
  <r>
    <n v="40"/>
    <x v="33"/>
    <x v="0"/>
    <x v="0"/>
    <x v="1"/>
    <s v="Rho Enterprises"/>
    <s v="support@rhoenterprises.com"/>
    <x v="3"/>
    <x v="1"/>
    <x v="1"/>
    <x v="1"/>
    <x v="0"/>
    <x v="0"/>
    <x v="1"/>
    <x v="1"/>
    <x v="2"/>
    <x v="0"/>
  </r>
  <r>
    <n v="41"/>
    <x v="34"/>
    <x v="1"/>
    <x v="1"/>
    <x v="0"/>
    <s v="Sigma Systems"/>
    <s v="help@sigmasystems.com"/>
    <x v="1"/>
    <x v="9"/>
    <x v="3"/>
    <x v="3"/>
    <x v="1"/>
    <x v="1"/>
    <x v="0"/>
    <x v="1"/>
    <x v="1"/>
    <x v="1"/>
  </r>
  <r>
    <n v="42"/>
    <x v="35"/>
    <x v="2"/>
    <x v="2"/>
    <x v="0"/>
    <s v="Tau Tech"/>
    <s v="support@tautech.com"/>
    <x v="2"/>
    <x v="2"/>
    <x v="0"/>
    <x v="2"/>
    <x v="0"/>
    <x v="2"/>
    <x v="2"/>
    <x v="0"/>
    <x v="3"/>
    <x v="0"/>
  </r>
  <r>
    <n v="43"/>
    <x v="36"/>
    <x v="3"/>
    <x v="0"/>
    <x v="0"/>
    <s v="Upsilon Corp"/>
    <s v="contact@upsiloncorp.com"/>
    <x v="0"/>
    <x v="0"/>
    <x v="2"/>
    <x v="0"/>
    <x v="0"/>
    <x v="0"/>
    <x v="0"/>
    <x v="0"/>
    <x v="0"/>
    <x v="0"/>
  </r>
  <r>
    <n v="44"/>
    <x v="37"/>
    <x v="4"/>
    <x v="1"/>
    <x v="0"/>
    <s v="Phi Enterprises"/>
    <s v="support@phienterprises.com"/>
    <x v="3"/>
    <x v="10"/>
    <x v="4"/>
    <x v="1"/>
    <x v="1"/>
    <x v="1"/>
    <x v="0"/>
    <x v="1"/>
    <x v="2"/>
    <x v="1"/>
  </r>
  <r>
    <n v="45"/>
    <x v="38"/>
    <x v="0"/>
    <x v="0"/>
    <x v="0"/>
    <s v="Omega Solutions"/>
    <s v="support@omegasolutions.com"/>
    <x v="0"/>
    <x v="2"/>
    <x v="0"/>
    <x v="0"/>
    <x v="0"/>
    <x v="0"/>
    <x v="0"/>
    <x v="0"/>
    <x v="0"/>
    <x v="0"/>
  </r>
  <r>
    <n v="46"/>
    <x v="39"/>
    <x v="1"/>
    <x v="1"/>
    <x v="0"/>
    <s v="Sigma Systems"/>
    <s v="help@sigmasystems.com"/>
    <x v="3"/>
    <x v="9"/>
    <x v="2"/>
    <x v="3"/>
    <x v="1"/>
    <x v="1"/>
    <x v="0"/>
    <x v="1"/>
    <x v="2"/>
    <x v="1"/>
  </r>
  <r>
    <n v="47"/>
    <x v="40"/>
    <x v="2"/>
    <x v="2"/>
    <x v="0"/>
    <s v="Delta Tech"/>
    <s v="contact@deltatech.com"/>
    <x v="1"/>
    <x v="0"/>
    <x v="3"/>
    <x v="1"/>
    <x v="0"/>
    <x v="2"/>
    <x v="2"/>
    <x v="0"/>
    <x v="1"/>
    <x v="0"/>
  </r>
  <r>
    <n v="48"/>
    <x v="41"/>
    <x v="4"/>
    <x v="0"/>
    <x v="2"/>
    <s v="Lambda Corp"/>
    <s v="support@lambdacorp.com"/>
    <x v="0"/>
    <x v="1"/>
    <x v="1"/>
    <x v="0"/>
    <x v="0"/>
    <x v="0"/>
    <x v="1"/>
    <x v="1"/>
    <x v="0"/>
    <x v="0"/>
  </r>
  <r>
    <n v="49"/>
    <x v="42"/>
    <x v="0"/>
    <x v="1"/>
    <x v="0"/>
    <s v="Beta Enterprises"/>
    <s v="info@betaenterprises.co.uk"/>
    <x v="3"/>
    <x v="5"/>
    <x v="0"/>
    <x v="1"/>
    <x v="0"/>
    <x v="1"/>
    <x v="0"/>
    <x v="0"/>
    <x v="3"/>
    <x v="1"/>
  </r>
  <r>
    <n v="50"/>
    <x v="43"/>
    <x v="3"/>
    <x v="2"/>
    <x v="0"/>
    <s v="Gamma Systems"/>
    <s v="help@gammasystems.com"/>
    <x v="2"/>
    <x v="6"/>
    <x v="0"/>
    <x v="2"/>
    <x v="0"/>
    <x v="2"/>
    <x v="2"/>
    <x v="0"/>
    <x v="0"/>
    <x v="0"/>
  </r>
  <r>
    <n v="51"/>
    <x v="44"/>
    <x v="1"/>
    <x v="0"/>
    <x v="0"/>
    <s v="Alpha Corp"/>
    <s v="support@alphacorp.com"/>
    <x v="1"/>
    <x v="8"/>
    <x v="2"/>
    <x v="3"/>
    <x v="1"/>
    <x v="0"/>
    <x v="0"/>
    <x v="1"/>
    <x v="1"/>
    <x v="1"/>
  </r>
  <r>
    <n v="52"/>
    <x v="45"/>
    <x v="2"/>
    <x v="1"/>
    <x v="0"/>
    <s v="Epsilon Inno"/>
    <s v="support@epsiloninno.com"/>
    <x v="0"/>
    <x v="7"/>
    <x v="3"/>
    <x v="0"/>
    <x v="1"/>
    <x v="1"/>
    <x v="0"/>
    <x v="1"/>
    <x v="0"/>
    <x v="0"/>
  </r>
  <r>
    <n v="53"/>
    <x v="46"/>
    <x v="4"/>
    <x v="2"/>
    <x v="2"/>
    <s v="Zeta Corp"/>
    <s v="hello@zetacorp.com"/>
    <x v="1"/>
    <x v="1"/>
    <x v="1"/>
    <x v="1"/>
    <x v="0"/>
    <x v="2"/>
    <x v="1"/>
    <x v="1"/>
    <x v="3"/>
    <x v="0"/>
  </r>
  <r>
    <n v="54"/>
    <x v="47"/>
    <x v="3"/>
    <x v="0"/>
    <x v="0"/>
    <s v="Theta Enterprises"/>
    <s v="support@thetaent.com"/>
    <x v="0"/>
    <x v="4"/>
    <x v="2"/>
    <x v="2"/>
    <x v="0"/>
    <x v="0"/>
    <x v="0"/>
    <x v="0"/>
    <x v="3"/>
    <x v="0"/>
  </r>
  <r>
    <n v="55"/>
    <x v="48"/>
    <x v="0"/>
    <x v="1"/>
    <x v="0"/>
    <s v="Kappa Technologies"/>
    <s v="support@kappatech.com"/>
    <x v="3"/>
    <x v="8"/>
    <x v="0"/>
    <x v="0"/>
    <x v="0"/>
    <x v="1"/>
    <x v="0"/>
    <x v="0"/>
    <x v="2"/>
    <x v="1"/>
  </r>
  <r>
    <n v="56"/>
    <x v="49"/>
    <x v="1"/>
    <x v="2"/>
    <x v="0"/>
    <s v="Lambda Corp"/>
    <s v="contact@lambdacorp.com"/>
    <x v="2"/>
    <x v="11"/>
    <x v="0"/>
    <x v="1"/>
    <x v="0"/>
    <x v="2"/>
    <x v="2"/>
    <x v="0"/>
    <x v="0"/>
    <x v="0"/>
  </r>
  <r>
    <n v="57"/>
    <x v="50"/>
    <x v="2"/>
    <x v="0"/>
    <x v="0"/>
    <s v="Mu Enterprises"/>
    <s v="help@muenterprises.com"/>
    <x v="0"/>
    <x v="9"/>
    <x v="3"/>
    <x v="3"/>
    <x v="1"/>
    <x v="0"/>
    <x v="0"/>
    <x v="1"/>
    <x v="1"/>
    <x v="1"/>
  </r>
  <r>
    <n v="58"/>
    <x v="51"/>
    <x v="4"/>
    <x v="1"/>
    <x v="1"/>
    <s v="Phi Enterprises"/>
    <s v="support@phienterprises.com"/>
    <x v="1"/>
    <x v="1"/>
    <x v="1"/>
    <x v="0"/>
    <x v="0"/>
    <x v="1"/>
    <x v="1"/>
    <x v="1"/>
    <x v="1"/>
    <x v="0"/>
  </r>
  <r>
    <n v="59"/>
    <x v="52"/>
    <x v="0"/>
    <x v="2"/>
    <x v="0"/>
    <s v="Xi Systems"/>
    <s v="support@xisystems.co.uk"/>
    <x v="2"/>
    <x v="6"/>
    <x v="0"/>
    <x v="1"/>
    <x v="0"/>
    <x v="2"/>
    <x v="2"/>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B823A02-33AA-4D41-BD88-03EE7EDBC423}" name="PivotTable6"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7" rowHeaderCaption="Channel">
  <location ref="E12:F16" firstHeaderRow="1" firstDataRow="1"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showAll="0"/>
    <pivotField showAll="0"/>
    <pivotField showAll="0"/>
    <pivotField showAll="0"/>
    <pivotField showAll="0"/>
    <pivotField showAll="0"/>
    <pivotField showAll="0"/>
    <pivotField axis="axisRow" showAll="0" sortType="descending">
      <items count="5">
        <item x="2"/>
        <item x="0"/>
        <item x="1"/>
        <item x="3"/>
        <item t="default"/>
      </items>
      <autoSortScope>
        <pivotArea dataOnly="0" outline="0" fieldPosition="0">
          <references count="1">
            <reference field="4294967294" count="1" selected="0">
              <x v="0"/>
            </reference>
          </references>
        </pivotArea>
      </autoSortScope>
    </pivotField>
    <pivotField showAll="0"/>
    <pivotField showAll="0">
      <items count="4">
        <item x="2"/>
        <item x="0"/>
        <item x="1"/>
        <item t="default"/>
      </items>
    </pivotField>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0"/>
  </rowFields>
  <rowItems count="4">
    <i>
      <x v="2"/>
    </i>
    <i>
      <x v="1"/>
    </i>
    <i>
      <x/>
    </i>
    <i>
      <x v="3"/>
    </i>
  </rowItems>
  <colItems count="1">
    <i/>
  </colItems>
  <dataFields count="1">
    <dataField name="Number of Tickets" fld="0" subtotal="count" baseField="1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2D0CB9-D4D8-4D3F-8C58-209887D52BEB}" name="PivotTable3"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8" rowHeaderCaption="Issue Type">
  <location ref="E3:F6" firstHeaderRow="1" firstDataRow="1"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3"/>
  </rowFields>
  <rowItems count="3">
    <i>
      <x v="2"/>
    </i>
    <i>
      <x v="1"/>
    </i>
    <i>
      <x/>
    </i>
  </rowItems>
  <colItems count="1">
    <i/>
  </colItems>
  <dataFields count="1">
    <dataField name="Number of Tickets" fld="0" subtotal="count" baseField="3" baseItem="0"/>
  </dataFields>
  <chartFormats count="1">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7C45CAF-00FC-441B-B225-AB35089009A6}" name="PivotTable5"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rowHeaderCaption="Customer satisfaction">
  <location ref="H3:I7" firstHeaderRow="1" firstDataRow="1"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showAll="0"/>
    <pivotField showAll="0"/>
    <pivotField showAll="0"/>
    <pivotField showAll="0"/>
    <pivotField showAll="0"/>
    <pivotField showAll="0"/>
    <pivotField axis="axisRow" showAll="0" sortType="descending">
      <items count="6">
        <item x="4"/>
        <item x="3"/>
        <item x="2"/>
        <item x="0"/>
        <item h="1" x="1"/>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2"/>
        <item x="0"/>
        <item x="1"/>
        <item t="default"/>
      </items>
    </pivotField>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9"/>
  </rowFields>
  <rowItems count="4">
    <i>
      <x v="3"/>
    </i>
    <i>
      <x v="2"/>
    </i>
    <i>
      <x v="1"/>
    </i>
    <i>
      <x/>
    </i>
  </rowItems>
  <colItems count="1">
    <i/>
  </colItems>
  <dataFields count="1">
    <dataField name="Number of Tickets" fld="0" subtotal="count" baseField="9"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F50C6DF-2A2C-4731-A16E-229E3F38C3BA}" name="PivotTable8"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rowHeaderCaption="Assigned Department">
  <location ref="E20:F23" firstHeaderRow="1" firstDataRow="1"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showAll="0"/>
    <pivotField showAll="0"/>
    <pivotField showAll="0"/>
    <pivotField showAll="0"/>
    <pivotField showAll="0"/>
    <pivotField showAll="0"/>
    <pivotField showAll="0"/>
    <pivotField showAll="0"/>
    <pivotField showAll="0"/>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2"/>
  </rowFields>
  <rowItems count="3">
    <i>
      <x v="2"/>
    </i>
    <i>
      <x v="1"/>
    </i>
    <i>
      <x/>
    </i>
  </rowItems>
  <colItems count="1">
    <i/>
  </colItems>
  <dataFields count="1">
    <dataField name="Number of Tickets" fld="0" subtotal="count" baseField="12"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65A52CB-9152-4FAC-A4EF-E1F212F7DD34}" name="PivotTable7"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2" rowHeaderCaption="Reopened Tickets">
  <location ref="A19:B21" firstHeaderRow="1" firstDataRow="1"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showAll="0"/>
    <pivotField showAll="0"/>
    <pivotField showAll="0"/>
    <pivotField showAll="0"/>
    <pivotField showAll="0"/>
    <pivotField showAll="0"/>
    <pivotField showAll="0"/>
    <pivotField showAll="0"/>
    <pivotField axis="axisRow" showAll="0">
      <items count="3">
        <item x="0"/>
        <item x="1"/>
        <item t="default"/>
      </items>
    </pivotField>
    <pivotField showAll="0">
      <items count="4">
        <item x="2"/>
        <item x="0"/>
        <item x="1"/>
        <item t="default"/>
      </items>
    </pivotField>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1"/>
  </rowFields>
  <rowItems count="2">
    <i>
      <x/>
    </i>
    <i>
      <x v="1"/>
    </i>
  </rowItems>
  <colItems count="1">
    <i/>
  </colItems>
  <dataFields count="1">
    <dataField name="Number of Tickets" fld="0" subtotal="count" showDataAs="percentOfTotal" baseField="11" baseItem="1"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350130D-4782-4109-9B7E-95387BC9157D}" name="PivotTable13"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rowHeaderCaption="Resolution Time">
  <location ref="A33:B44" firstHeaderRow="1" firstDataRow="1"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showAll="0"/>
    <pivotField showAll="0"/>
    <pivotField showAll="0"/>
    <pivotField showAll="0"/>
    <pivotField showAll="0"/>
    <pivotField axis="axisRow" showAll="0">
      <items count="13">
        <item x="11"/>
        <item x="6"/>
        <item x="2"/>
        <item x="4"/>
        <item x="0"/>
        <item x="8"/>
        <item x="5"/>
        <item x="9"/>
        <item x="3"/>
        <item x="10"/>
        <item x="7"/>
        <item h="1" x="1"/>
        <item t="default"/>
      </items>
    </pivotField>
    <pivotField showAll="0"/>
    <pivotField showAll="0"/>
    <pivotField showAll="0"/>
    <pivotField showAll="0">
      <items count="4">
        <item x="2"/>
        <item x="0"/>
        <item x="1"/>
        <item t="default"/>
      </items>
    </pivotField>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8"/>
  </rowFields>
  <rowItems count="11">
    <i>
      <x/>
    </i>
    <i>
      <x v="1"/>
    </i>
    <i>
      <x v="2"/>
    </i>
    <i>
      <x v="3"/>
    </i>
    <i>
      <x v="4"/>
    </i>
    <i>
      <x v="5"/>
    </i>
    <i>
      <x v="6"/>
    </i>
    <i>
      <x v="7"/>
    </i>
    <i>
      <x v="8"/>
    </i>
    <i>
      <x v="9"/>
    </i>
    <i>
      <x v="10"/>
    </i>
  </rowItems>
  <colItems count="1">
    <i/>
  </colItems>
  <dataFields count="1">
    <dataField name="Number of Tickets" fld="0" subtotal="count" baseField="8"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ED110C58-1D76-4E8E-BCE5-075488B57173}" name="PivotTable2"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8" rowHeaderCaption="Priority Level">
  <location ref="A10:B14" firstHeaderRow="1" firstDataRow="1"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showAll="0"/>
    <pivotField showAll="0"/>
    <pivotField showAll="0"/>
    <pivotField showAll="0"/>
    <pivotField axis="axisRow" showAll="0" sortType="descending">
      <items count="5">
        <item x="3"/>
        <item x="0"/>
        <item x="2"/>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2"/>
        <item x="0"/>
        <item x="1"/>
        <item t="default"/>
      </items>
    </pivotField>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4">
    <i>
      <x v="1"/>
    </i>
    <i>
      <x v="3"/>
    </i>
    <i>
      <x v="2"/>
    </i>
    <i>
      <x/>
    </i>
  </rowItems>
  <colItems count="1">
    <i/>
  </colItems>
  <dataFields count="1">
    <dataField name="Number of Tickets" fld="0" subtotal="count" baseField="7" baseItem="0"/>
  </dataFields>
  <chartFormats count="1">
    <chartFormat chart="4"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790BAA2-0DC3-4221-8511-BB18EF6716A5}" name="PivotTable10"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rowHeaderCaption="Follow-up Required">
  <location ref="A26:B28" firstHeaderRow="1" firstDataRow="1"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4"/>
  </rowFields>
  <rowItems count="2">
    <i>
      <x v="1"/>
    </i>
    <i>
      <x/>
    </i>
  </rowItems>
  <colItems count="1">
    <i/>
  </colItems>
  <dataFields count="1">
    <dataField name="Number of Tickets" fld="0" subtotal="count" baseField="1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2F8182D-9146-49F9-8491-7DD040BEC9C6}" name="PivotTable11"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rowHeaderCaption="First Response Time">
  <location ref="E27:F31" firstHeaderRow="1" firstDataRow="1"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showAll="0"/>
    <pivotField axis="axisRow" showAll="0" sortType="descending">
      <items count="5">
        <item x="1"/>
        <item x="3"/>
        <item x="0"/>
        <item x="2"/>
        <item t="default"/>
      </items>
      <autoSortScope>
        <pivotArea dataOnly="0" outline="0" fieldPosition="0">
          <references count="1">
            <reference field="4294967294" count="1" selected="0">
              <x v="0"/>
            </reference>
          </references>
        </pivotArea>
      </autoSortScope>
    </pivotField>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5"/>
  </rowFields>
  <rowItems count="4">
    <i>
      <x v="2"/>
    </i>
    <i>
      <x/>
    </i>
    <i>
      <x v="3"/>
    </i>
    <i>
      <x v="1"/>
    </i>
  </rowItems>
  <colItems count="1">
    <i/>
  </colItems>
  <dataFields count="1">
    <dataField name="Number of Tickets" fld="0" subtotal="count" baseField="15"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DC25164-F4BB-4F34-A2D2-CD8F416A166B}" name="PivotTable4" cacheId="0" applyNumberFormats="0" applyBorderFormats="0" applyFontFormats="0" applyPatternFormats="0" applyAlignmentFormats="0" applyWidthHeightFormats="1" dataCaption="Values" updatedVersion="8" minRefreshableVersion="5" useAutoFormatting="1" rowGrandTotals="0" colGrandTotals="0" itemPrintTitles="1" createdVersion="8" indent="0" outline="1" outlineData="1" multipleFieldFilters="0" chartFormat="13" rowHeaderCaption="Support Agent" colHeaderCaption="">
  <location ref="A52:D58" firstHeaderRow="1" firstDataRow="2"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axis="axisRow" showAll="0" sortType="descending">
      <items count="6">
        <item x="3"/>
        <item x="1"/>
        <item x="2"/>
        <item x="4"/>
        <item x="0"/>
        <item t="default"/>
      </items>
      <autoSortScope>
        <pivotArea dataOnly="0" outline="0" fieldPosition="0">
          <references count="1">
            <reference field="4294967294" count="1" selected="0">
              <x v="0"/>
            </reference>
          </references>
        </pivotArea>
      </autoSortScope>
    </pivotField>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items count="4">
        <item x="2"/>
        <item x="0"/>
        <item x="1"/>
        <item t="default"/>
      </items>
    </pivotField>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2"/>
  </rowFields>
  <rowItems count="5">
    <i>
      <x v="4"/>
    </i>
    <i>
      <x v="1"/>
    </i>
    <i>
      <x v="3"/>
    </i>
    <i>
      <x/>
    </i>
    <i>
      <x v="2"/>
    </i>
  </rowItems>
  <colFields count="1">
    <field x="4"/>
  </colFields>
  <colItems count="3">
    <i>
      <x/>
    </i>
    <i>
      <x v="1"/>
    </i>
    <i>
      <x v="2"/>
    </i>
  </colItems>
  <dataFields count="1">
    <dataField name="  " fld="0" subtotal="count" baseField="2" baseItem="0"/>
  </dataFields>
  <chartFormats count="3">
    <chartFormat chart="9" format="6" series="1">
      <pivotArea type="data" outline="0" fieldPosition="0">
        <references count="2">
          <reference field="4294967294" count="1" selected="0">
            <x v="0"/>
          </reference>
          <reference field="4" count="1" selected="0">
            <x v="0"/>
          </reference>
        </references>
      </pivotArea>
    </chartFormat>
    <chartFormat chart="9" format="7" series="1">
      <pivotArea type="data" outline="0" fieldPosition="0">
        <references count="2">
          <reference field="4294967294" count="1" selected="0">
            <x v="0"/>
          </reference>
          <reference field="4" count="1" selected="0">
            <x v="1"/>
          </reference>
        </references>
      </pivotArea>
    </chartFormat>
    <chartFormat chart="9" format="8" series="1">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5EB50FB-D963-4754-B512-EFF9183A39D7}" name="PivotTable15"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6" rowHeaderCaption=" ">
  <location ref="E41:F44" firstHeaderRow="1" firstDataRow="1"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showAll="0"/>
    <pivotField showAll="0"/>
    <pivotField showAll="0" sortType="descending">
      <autoSortScope>
        <pivotArea dataOnly="0" outline="0" fieldPosition="0">
          <references count="1">
            <reference field="4294967294" count="1" selected="0">
              <x v="0"/>
            </reference>
          </references>
        </pivotArea>
      </autoSortScope>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18"/>
  </rowFields>
  <rowItems count="3">
    <i>
      <x v="7"/>
    </i>
    <i>
      <x v="8"/>
    </i>
    <i>
      <x v="9"/>
    </i>
  </rowItems>
  <colItems count="1">
    <i/>
  </colItems>
  <dataFields count="1">
    <dataField name="Number of Tickets" fld="0" subtotal="count" baseField="16"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258AD96-26CB-4CD0-8D9F-24902694E97F}" name="PivotTable9"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rowHeaderCaption="Resolution Type">
  <location ref="H20:I23" firstHeaderRow="1" firstDataRow="1"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axis="axisRow" showAll="0" sortType="descending">
      <items count="4">
        <item x="2"/>
        <item x="0"/>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3"/>
  </rowFields>
  <rowItems count="3">
    <i>
      <x v="1"/>
    </i>
    <i>
      <x v="2"/>
    </i>
    <i>
      <x/>
    </i>
  </rowItems>
  <colItems count="1">
    <i/>
  </colItems>
  <dataFields count="1">
    <dataField name="Number of Tickets" fld="0" subtotal="count" baseField="13"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D776DEC-17F0-4C01-A6D7-748CA331462E}" name="PivotTable14"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rowHeaderCaption="Ticket Source">
  <location ref="E35:E36" firstHeaderRow="1" firstDataRow="1" firstDataCol="0"/>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Items count="1">
    <i/>
  </rowItems>
  <colItems count="1">
    <i/>
  </colItems>
  <dataFields count="1">
    <dataField name="Total Ticket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4AD3CBE5-2AA3-4CC2-A268-238A93EC97A2}" name="PivotTable1"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rowHeaderCaption="Ticket Status">
  <location ref="A3:B6" firstHeaderRow="1" firstDataRow="1"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showAll="0"/>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items count="4">
        <item x="2"/>
        <item x="0"/>
        <item x="1"/>
        <item t="default"/>
      </items>
    </pivotField>
    <pivotField showAll="0"/>
    <pivotField showAll="0"/>
    <pivotField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4"/>
  </rowFields>
  <rowItems count="3">
    <i>
      <x/>
    </i>
    <i>
      <x v="2"/>
    </i>
    <i>
      <x v="1"/>
    </i>
  </rowItems>
  <colItems count="1">
    <i/>
  </colItems>
  <dataFields count="1">
    <dataField name="Number of Tickets" fld="0" subtotal="count" baseField="4"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7FEA0F8-A9B0-4CDF-B21B-B1EC04398926}" name="PivotTable12"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rowHeaderCaption="Ticket Source">
  <location ref="H28:I30" firstHeaderRow="1" firstDataRow="1" firstDataCol="1"/>
  <pivotFields count="19">
    <pivotField dataField="1" showAll="0"/>
    <pivotField numFmtId="14" showAll="0">
      <items count="54">
        <item x="20"/>
        <item x="21"/>
        <item x="22"/>
        <item x="23"/>
        <item x="24"/>
        <item x="25"/>
        <item x="26"/>
        <item x="27"/>
        <item x="28"/>
        <item x="29"/>
        <item x="30"/>
        <item x="31"/>
        <item x="10"/>
        <item x="32"/>
        <item x="33"/>
        <item x="34"/>
        <item x="35"/>
        <item x="36"/>
        <item x="37"/>
        <item x="0"/>
        <item x="1"/>
        <item x="2"/>
        <item x="3"/>
        <item x="4"/>
        <item x="5"/>
        <item x="6"/>
        <item x="7"/>
        <item x="8"/>
        <item x="9"/>
        <item x="11"/>
        <item x="12"/>
        <item x="13"/>
        <item x="14"/>
        <item x="15"/>
        <item x="16"/>
        <item x="17"/>
        <item x="18"/>
        <item x="19"/>
        <item x="38"/>
        <item x="39"/>
        <item x="40"/>
        <item x="41"/>
        <item x="42"/>
        <item x="43"/>
        <item x="44"/>
        <item x="45"/>
        <item x="46"/>
        <item x="47"/>
        <item x="48"/>
        <item x="49"/>
        <item x="50"/>
        <item x="51"/>
        <item x="52"/>
        <item t="default"/>
      </items>
    </pivotField>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showAll="0"/>
    <pivotField showAll="0"/>
    <pivotField axis="axisRow" showAll="0" sortType="descending">
      <items count="3">
        <item x="1"/>
        <item x="0"/>
        <item t="default"/>
      </items>
      <autoSortScope>
        <pivotArea dataOnly="0" outline="0" fieldPosition="0">
          <references count="1">
            <reference field="4294967294" count="1" selected="0">
              <x v="0"/>
            </reference>
          </references>
        </pivotArea>
      </autoSortScope>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2">
    <i>
      <x v="1"/>
    </i>
    <i>
      <x/>
    </i>
  </rowItems>
  <colItems count="1">
    <i/>
  </colItems>
  <dataFields count="1">
    <dataField name="Number of Tickets" fld="0" subtotal="count" baseField="16"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32E79CEB-4F5F-4C1C-96D6-6B444FD802A4}" autoFormatId="16" applyNumberFormats="0" applyBorderFormats="0" applyFontFormats="0" applyPatternFormats="0" applyAlignmentFormats="0" applyWidthHeightFormats="0">
  <queryTableRefresh nextId="21">
    <queryTableFields count="17">
      <queryTableField id="19" name="Ticket ID" tableColumnId="19"/>
      <queryTableField id="1" name="Date of Ticket" tableColumnId="1"/>
      <queryTableField id="2" name="Support Agent" tableColumnId="2"/>
      <queryTableField id="3" name="Issue Type" tableColumnId="3"/>
      <queryTableField id="4" name="Ticket Status" tableColumnId="4"/>
      <queryTableField id="5" name="Customer Name" tableColumnId="5"/>
      <queryTableField id="6" name="Customer Email" tableColumnId="6"/>
      <queryTableField id="7" name="Priority" tableColumnId="7"/>
      <queryTableField id="8" name="Resolution Time (hrs)" tableColumnId="8"/>
      <queryTableField id="9" name="Customer Satisfaction" tableColumnId="9"/>
      <queryTableField id="10" name="Channel" tableColumnId="10"/>
      <queryTableField id="11" name="Reopened Tickets" tableColumnId="11"/>
      <queryTableField id="12" name="Assigned Department" tableColumnId="12"/>
      <queryTableField id="13" name="Resolution Type" tableColumnId="13"/>
      <queryTableField id="14" name="Follow-up Required" tableColumnId="14"/>
      <queryTableField id="15" name="First Response Time (hrs)" tableColumnId="15"/>
      <queryTableField id="16" name="Ticket Source"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signed_Department" xr10:uid="{90A10086-E6A2-4B95-BD4E-5EEEEFA1B4F4}" sourceName="Assigned Department">
  <pivotTables>
    <pivotTable tabId="1" name="PivotTable14"/>
    <pivotTable tabId="1" name="PivotTable1"/>
    <pivotTable tabId="1" name="PivotTable10"/>
    <pivotTable tabId="1" name="PivotTable11"/>
    <pivotTable tabId="1" name="PivotTable12"/>
    <pivotTable tabId="1" name="PivotTable13"/>
    <pivotTable tabId="1" name="PivotTable15"/>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data>
    <tabular pivotCacheId="1762003932">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lect a Department 1" xr10:uid="{78D3D54F-BAC1-4B50-B61A-51B6CED50807}" cache="Slicer_Assigned_Department" caption="Select a Department" style="Secon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51D084-46C1-486E-BD57-7375E0F10777}" name="Customer_Suport_Report" displayName="Customer_Suport_Report" ref="A1:Q60" tableType="queryTable" totalsRowShown="0">
  <autoFilter ref="A1:Q60" xr:uid="{5E51D084-46C1-486E-BD57-7375E0F10777}"/>
  <tableColumns count="17">
    <tableColumn id="19" xr3:uid="{180662F1-1346-4192-81F4-8D3E345FED8C}" uniqueName="19" name="Ticket ID" queryTableFieldId="19"/>
    <tableColumn id="1" xr3:uid="{BC03B9E0-E6A9-4CEE-9733-F2053631CAE7}" uniqueName="1" name="Date of Ticket" queryTableFieldId="1" dataDxfId="14"/>
    <tableColumn id="2" xr3:uid="{D664A312-39AA-4E56-9D50-C287C1E07F2A}" uniqueName="2" name="Support Agent" queryTableFieldId="2" dataDxfId="13"/>
    <tableColumn id="3" xr3:uid="{F68B8DEC-B7AE-4D37-AB25-937F706543EA}" uniqueName="3" name="Issue Type" queryTableFieldId="3" dataDxfId="12"/>
    <tableColumn id="4" xr3:uid="{FD348526-8D24-42D4-A899-1C0A5CC3E025}" uniqueName="4" name="Ticket Status" queryTableFieldId="4" dataDxfId="11"/>
    <tableColumn id="5" xr3:uid="{B4E00353-F72C-4FE4-ACA7-5C30134E2104}" uniqueName="5" name="Customer Name" queryTableFieldId="5" dataDxfId="10"/>
    <tableColumn id="6" xr3:uid="{639E2ACE-416A-417F-B918-98EC02027AAF}" uniqueName="6" name="Customer Email" queryTableFieldId="6" dataDxfId="9"/>
    <tableColumn id="7" xr3:uid="{67CF336A-F581-4278-932F-1AAB8655FB9C}" uniqueName="7" name="Priority" queryTableFieldId="7" dataDxfId="8"/>
    <tableColumn id="8" xr3:uid="{C5171F3E-587F-4ACA-B85C-94FE7363CF2A}" uniqueName="8" name="Resolution Time (hrs)" queryTableFieldId="8"/>
    <tableColumn id="9" xr3:uid="{313A9369-7275-4B4C-8787-A44C4AAA9EB0}" uniqueName="9" name="Customer Satisfaction" queryTableFieldId="9"/>
    <tableColumn id="10" xr3:uid="{A68B5E96-8F4E-4BA3-AE34-2D4B7C8CEAB0}" uniqueName="10" name="Channel" queryTableFieldId="10" dataDxfId="7"/>
    <tableColumn id="11" xr3:uid="{AD276CF4-89FD-433D-9614-A8745A58B41E}" uniqueName="11" name="Reopened Tickets" queryTableFieldId="11" dataDxfId="6"/>
    <tableColumn id="12" xr3:uid="{65FF924C-AA56-4821-A0E8-3711963BABD9}" uniqueName="12" name="Assigned Department" queryTableFieldId="12" dataDxfId="5"/>
    <tableColumn id="13" xr3:uid="{23DB315D-8E9C-4E21-8562-05D29EEE93DE}" uniqueName="13" name="Resolution Type" queryTableFieldId="13" dataDxfId="4"/>
    <tableColumn id="14" xr3:uid="{40D4091B-983B-4854-A460-C2173DAB12E2}" uniqueName="14" name="Follow-up Required" queryTableFieldId="14" dataDxfId="3"/>
    <tableColumn id="15" xr3:uid="{F1A11238-694D-435E-B56C-61CA0D011977}" uniqueName="15" name="First Response Time (hrs)" queryTableFieldId="15"/>
    <tableColumn id="16" xr3:uid="{D841420C-BB40-4B7C-B772-1F59FAD7F49D}" uniqueName="16" name="Ticket Source" queryTableFieldId="16" dataDxf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339DFCA-5F4F-439E-8CE7-2347B5A87113}" name="Table2" displayName="Table2" ref="A1:D11" totalsRowShown="0" headerRowDxfId="1">
  <autoFilter ref="A1:D11" xr:uid="{4339DFCA-5F4F-439E-8CE7-2347B5A87113}"/>
  <tableColumns count="4">
    <tableColumn id="1" xr3:uid="{36900A3A-5D18-48C3-B456-5FBA54F5F434}" name="Email Address" dataCellStyle="Hyperlink"/>
    <tableColumn id="2" xr3:uid="{14472E46-6D15-4A2C-B93A-B97EA8BF67AC}" name="Subject"/>
    <tableColumn id="3" xr3:uid="{5F646904-3083-4739-B9A7-1E3DB0416D24}" name="Message" dataDxfId="0"/>
    <tableColumn id="4" xr3:uid="{1E03615F-1977-436D-935F-584CC75B92E8}" name="Status"/>
  </tableColumns>
  <tableStyleInfo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_of_Ticket" xr10:uid="{EE411251-29C8-4FC4-8F7B-9319835A3F51}" sourceName="Date of Ticket">
  <pivotTables>
    <pivotTable tabId="1" name="PivotTable14"/>
    <pivotTable tabId="1" name="PivotTable1"/>
    <pivotTable tabId="1" name="PivotTable10"/>
    <pivotTable tabId="1" name="PivotTable11"/>
    <pivotTable tabId="1" name="PivotTable12"/>
    <pivotTable tabId="1" name="PivotTable13"/>
    <pivotTable tabId="1" name="PivotTable15"/>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s>
  <state minimalRefreshVersion="6" lastRefreshVersion="6" pivotCacheId="1762003932" filterType="unknown">
    <bounds startDate="2024-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of Ticket" xr10:uid="{0DF07571-DB15-4127-9D00-BDD29931C087}" cache="NativeTimeline_Date_of_Ticket" caption="Date of Ticket" level="2" selectionLevel="2" scrollPosition="2024-05-25T00:00:00"/>
</timeline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hyperlink" Target="mailto:chris@cloudfusion.com" TargetMode="External"/><Relationship Id="rId3" Type="http://schemas.openxmlformats.org/officeDocument/2006/relationships/hyperlink" Target="mailto:john@cloudfusion.com" TargetMode="External"/><Relationship Id="rId7" Type="http://schemas.openxmlformats.org/officeDocument/2006/relationships/hyperlink" Target="mailto:laura@cloudfusion.com" TargetMode="External"/><Relationship Id="rId12" Type="http://schemas.openxmlformats.org/officeDocument/2006/relationships/table" Target="../tables/table2.xml"/><Relationship Id="rId2" Type="http://schemas.openxmlformats.org/officeDocument/2006/relationships/hyperlink" Target="mailto:mary@cloudfusion.com" TargetMode="External"/><Relationship Id="rId1" Type="http://schemas.openxmlformats.org/officeDocument/2006/relationships/hyperlink" Target="mailto:jeff@cloudfusion.com" TargetMode="External"/><Relationship Id="rId6" Type="http://schemas.openxmlformats.org/officeDocument/2006/relationships/hyperlink" Target="mailto:michael@cloudfusion.com" TargetMode="External"/><Relationship Id="rId11" Type="http://schemas.openxmlformats.org/officeDocument/2006/relationships/drawing" Target="../drawings/drawing2.xml"/><Relationship Id="rId5" Type="http://schemas.openxmlformats.org/officeDocument/2006/relationships/hyperlink" Target="mailto:sarah@cloudfusion.com" TargetMode="External"/><Relationship Id="rId10" Type="http://schemas.openxmlformats.org/officeDocument/2006/relationships/hyperlink" Target="mailto:robert@cloudfusion.com" TargetMode="External"/><Relationship Id="rId4" Type="http://schemas.openxmlformats.org/officeDocument/2006/relationships/hyperlink" Target="mailto:alex@cloudfusion.com" TargetMode="External"/><Relationship Id="rId9" Type="http://schemas.openxmlformats.org/officeDocument/2006/relationships/hyperlink" Target="mailto:anna@cloudfusion.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146DB8-814D-4DB9-B69D-44E954100615}">
  <sheetPr codeName="Sheet1"/>
  <dimension ref="A1:Q60"/>
  <sheetViews>
    <sheetView workbookViewId="0">
      <selection activeCell="T13" sqref="T13"/>
    </sheetView>
  </sheetViews>
  <sheetFormatPr defaultRowHeight="14.25" x14ac:dyDescent="0.45"/>
  <cols>
    <col min="1" max="1" width="9.9296875" bestFit="1" customWidth="1"/>
    <col min="2" max="2" width="14.1328125" bestFit="1" customWidth="1"/>
    <col min="3" max="3" width="14.796875" bestFit="1" customWidth="1"/>
    <col min="4" max="4" width="11.53125" bestFit="1" customWidth="1"/>
    <col min="5" max="5" width="13.265625" bestFit="1" customWidth="1"/>
    <col min="6" max="6" width="16.33203125" bestFit="1" customWidth="1"/>
    <col min="7" max="7" width="25.9296875" bestFit="1" customWidth="1"/>
    <col min="8" max="8" width="8.86328125" bestFit="1" customWidth="1"/>
    <col min="9" max="9" width="20.46484375" bestFit="1" customWidth="1"/>
    <col min="10" max="10" width="20.796875" bestFit="1" customWidth="1"/>
    <col min="11" max="11" width="9.53125" bestFit="1" customWidth="1"/>
    <col min="12" max="12" width="17.3984375" bestFit="1" customWidth="1"/>
    <col min="13" max="13" width="20.73046875" bestFit="1" customWidth="1"/>
    <col min="14" max="14" width="16.1328125" bestFit="1" customWidth="1"/>
    <col min="15" max="15" width="19.06640625" bestFit="1" customWidth="1"/>
    <col min="16" max="16" width="23.59765625" bestFit="1" customWidth="1"/>
    <col min="17" max="17" width="13.73046875" customWidth="1"/>
  </cols>
  <sheetData>
    <row r="1" spans="1:17" x14ac:dyDescent="0.45">
      <c r="A1" t="s">
        <v>107</v>
      </c>
      <c r="B1" t="s">
        <v>0</v>
      </c>
      <c r="C1" t="s">
        <v>1</v>
      </c>
      <c r="D1" t="s">
        <v>2</v>
      </c>
      <c r="E1" t="s">
        <v>3</v>
      </c>
      <c r="F1" t="s">
        <v>4</v>
      </c>
      <c r="G1" t="s">
        <v>5</v>
      </c>
      <c r="H1" t="s">
        <v>6</v>
      </c>
      <c r="I1" t="s">
        <v>7</v>
      </c>
      <c r="J1" t="s">
        <v>8</v>
      </c>
      <c r="K1" t="s">
        <v>9</v>
      </c>
      <c r="L1" t="s">
        <v>10</v>
      </c>
      <c r="M1" t="s">
        <v>11</v>
      </c>
      <c r="N1" t="s">
        <v>12</v>
      </c>
      <c r="O1" t="s">
        <v>13</v>
      </c>
      <c r="P1" t="s">
        <v>14</v>
      </c>
      <c r="Q1" t="s">
        <v>15</v>
      </c>
    </row>
    <row r="2" spans="1:17" x14ac:dyDescent="0.45">
      <c r="A2">
        <v>1</v>
      </c>
      <c r="B2" s="1">
        <v>45505</v>
      </c>
      <c r="C2" t="s">
        <v>16</v>
      </c>
      <c r="D2" t="s">
        <v>17</v>
      </c>
      <c r="E2" t="s">
        <v>18</v>
      </c>
      <c r="F2" t="s">
        <v>19</v>
      </c>
      <c r="G2" t="s">
        <v>20</v>
      </c>
      <c r="H2" t="s">
        <v>21</v>
      </c>
      <c r="I2">
        <v>6</v>
      </c>
      <c r="J2">
        <v>5</v>
      </c>
      <c r="K2" t="s">
        <v>22</v>
      </c>
      <c r="L2" t="s">
        <v>23</v>
      </c>
      <c r="M2" t="s">
        <v>17</v>
      </c>
      <c r="N2" t="s">
        <v>24</v>
      </c>
      <c r="O2" t="s">
        <v>23</v>
      </c>
      <c r="P2">
        <v>1</v>
      </c>
      <c r="Q2" t="s">
        <v>25</v>
      </c>
    </row>
    <row r="3" spans="1:17" x14ac:dyDescent="0.45">
      <c r="A3">
        <v>2</v>
      </c>
      <c r="B3" s="1">
        <v>45507</v>
      </c>
      <c r="C3" t="s">
        <v>26</v>
      </c>
      <c r="D3" t="s">
        <v>27</v>
      </c>
      <c r="E3" t="s">
        <v>28</v>
      </c>
      <c r="F3" t="s">
        <v>29</v>
      </c>
      <c r="G3" t="s">
        <v>30</v>
      </c>
      <c r="H3" t="s">
        <v>31</v>
      </c>
      <c r="I3" t="s">
        <v>32</v>
      </c>
      <c r="J3" t="s">
        <v>32</v>
      </c>
      <c r="K3" t="s">
        <v>33</v>
      </c>
      <c r="L3" t="s">
        <v>23</v>
      </c>
      <c r="M3" t="s">
        <v>34</v>
      </c>
      <c r="N3" t="s">
        <v>32</v>
      </c>
      <c r="O3" t="s">
        <v>35</v>
      </c>
      <c r="P3">
        <v>2</v>
      </c>
      <c r="Q3" t="s">
        <v>25</v>
      </c>
    </row>
    <row r="4" spans="1:17" x14ac:dyDescent="0.45">
      <c r="A4">
        <v>3</v>
      </c>
      <c r="B4" s="1">
        <v>45509</v>
      </c>
      <c r="C4" t="s">
        <v>36</v>
      </c>
      <c r="D4" t="s">
        <v>37</v>
      </c>
      <c r="E4" t="s">
        <v>18</v>
      </c>
      <c r="F4" t="s">
        <v>38</v>
      </c>
      <c r="G4" t="s">
        <v>39</v>
      </c>
      <c r="H4" t="s">
        <v>40</v>
      </c>
      <c r="I4">
        <v>4</v>
      </c>
      <c r="J4">
        <v>4</v>
      </c>
      <c r="K4" t="s">
        <v>41</v>
      </c>
      <c r="L4" t="s">
        <v>23</v>
      </c>
      <c r="M4" t="s">
        <v>42</v>
      </c>
      <c r="N4" t="s">
        <v>43</v>
      </c>
      <c r="O4" t="s">
        <v>23</v>
      </c>
      <c r="P4">
        <v>1</v>
      </c>
      <c r="Q4" t="s">
        <v>25</v>
      </c>
    </row>
    <row r="5" spans="1:17" x14ac:dyDescent="0.45">
      <c r="A5">
        <v>4</v>
      </c>
      <c r="B5" s="1">
        <v>45511</v>
      </c>
      <c r="C5" t="s">
        <v>44</v>
      </c>
      <c r="D5" t="s">
        <v>27</v>
      </c>
      <c r="E5" t="s">
        <v>18</v>
      </c>
      <c r="F5" t="s">
        <v>45</v>
      </c>
      <c r="G5" t="s">
        <v>46</v>
      </c>
      <c r="H5" t="s">
        <v>47</v>
      </c>
      <c r="I5">
        <v>10</v>
      </c>
      <c r="J5">
        <v>3</v>
      </c>
      <c r="K5" t="s">
        <v>48</v>
      </c>
      <c r="L5" t="s">
        <v>35</v>
      </c>
      <c r="M5" t="s">
        <v>34</v>
      </c>
      <c r="N5" t="s">
        <v>24</v>
      </c>
      <c r="O5" t="s">
        <v>35</v>
      </c>
      <c r="P5">
        <v>0.5</v>
      </c>
      <c r="Q5" t="s">
        <v>49</v>
      </c>
    </row>
    <row r="6" spans="1:17" x14ac:dyDescent="0.45">
      <c r="A6">
        <v>5</v>
      </c>
      <c r="B6" s="1">
        <v>45514</v>
      </c>
      <c r="C6" t="s">
        <v>16</v>
      </c>
      <c r="D6" t="s">
        <v>17</v>
      </c>
      <c r="E6" t="s">
        <v>50</v>
      </c>
      <c r="F6" t="s">
        <v>51</v>
      </c>
      <c r="G6" t="s">
        <v>52</v>
      </c>
      <c r="H6" t="s">
        <v>21</v>
      </c>
      <c r="I6" t="s">
        <v>32</v>
      </c>
      <c r="J6" t="s">
        <v>32</v>
      </c>
      <c r="K6" t="s">
        <v>22</v>
      </c>
      <c r="L6" t="s">
        <v>23</v>
      </c>
      <c r="M6" t="s">
        <v>17</v>
      </c>
      <c r="N6" t="s">
        <v>32</v>
      </c>
      <c r="O6" t="s">
        <v>35</v>
      </c>
      <c r="P6">
        <v>1</v>
      </c>
      <c r="Q6" t="s">
        <v>25</v>
      </c>
    </row>
    <row r="7" spans="1:17" x14ac:dyDescent="0.45">
      <c r="A7">
        <v>6</v>
      </c>
      <c r="B7" s="1">
        <v>45516</v>
      </c>
      <c r="C7" t="s">
        <v>16</v>
      </c>
      <c r="D7" t="s">
        <v>37</v>
      </c>
      <c r="E7" t="s">
        <v>18</v>
      </c>
      <c r="F7" t="s">
        <v>53</v>
      </c>
      <c r="G7" t="s">
        <v>54</v>
      </c>
      <c r="H7" t="s">
        <v>31</v>
      </c>
      <c r="I7">
        <v>5</v>
      </c>
      <c r="J7">
        <v>5</v>
      </c>
      <c r="K7" t="s">
        <v>33</v>
      </c>
      <c r="L7" t="s">
        <v>23</v>
      </c>
      <c r="M7" t="s">
        <v>42</v>
      </c>
      <c r="N7" t="s">
        <v>43</v>
      </c>
      <c r="O7" t="s">
        <v>23</v>
      </c>
      <c r="P7">
        <v>2</v>
      </c>
      <c r="Q7" t="s">
        <v>25</v>
      </c>
    </row>
    <row r="8" spans="1:17" x14ac:dyDescent="0.45">
      <c r="A8">
        <v>7</v>
      </c>
      <c r="B8" s="1">
        <v>45519</v>
      </c>
      <c r="C8" t="s">
        <v>26</v>
      </c>
      <c r="D8" t="s">
        <v>17</v>
      </c>
      <c r="E8" t="s">
        <v>28</v>
      </c>
      <c r="F8" t="s">
        <v>55</v>
      </c>
      <c r="G8" t="s">
        <v>56</v>
      </c>
      <c r="H8" t="s">
        <v>21</v>
      </c>
      <c r="I8" t="s">
        <v>32</v>
      </c>
      <c r="J8" t="s">
        <v>32</v>
      </c>
      <c r="K8" t="s">
        <v>22</v>
      </c>
      <c r="L8" t="s">
        <v>23</v>
      </c>
      <c r="M8" t="s">
        <v>17</v>
      </c>
      <c r="N8" t="s">
        <v>32</v>
      </c>
      <c r="O8" t="s">
        <v>35</v>
      </c>
      <c r="P8">
        <v>1.5</v>
      </c>
      <c r="Q8" t="s">
        <v>25</v>
      </c>
    </row>
    <row r="9" spans="1:17" x14ac:dyDescent="0.45">
      <c r="A9">
        <v>8</v>
      </c>
      <c r="B9" s="1">
        <v>45519</v>
      </c>
      <c r="C9" t="s">
        <v>36</v>
      </c>
      <c r="D9" t="s">
        <v>27</v>
      </c>
      <c r="E9" t="s">
        <v>18</v>
      </c>
      <c r="F9" t="s">
        <v>57</v>
      </c>
      <c r="G9" t="s">
        <v>58</v>
      </c>
      <c r="H9" t="s">
        <v>40</v>
      </c>
      <c r="I9">
        <v>8</v>
      </c>
      <c r="J9">
        <v>4</v>
      </c>
      <c r="K9" t="s">
        <v>48</v>
      </c>
      <c r="L9" t="s">
        <v>35</v>
      </c>
      <c r="M9" t="s">
        <v>34</v>
      </c>
      <c r="N9" t="s">
        <v>24</v>
      </c>
      <c r="O9" t="s">
        <v>23</v>
      </c>
      <c r="P9">
        <v>2</v>
      </c>
      <c r="Q9" t="s">
        <v>49</v>
      </c>
    </row>
    <row r="10" spans="1:17" x14ac:dyDescent="0.45">
      <c r="A10">
        <v>9</v>
      </c>
      <c r="B10" s="1">
        <v>45520</v>
      </c>
      <c r="C10" t="s">
        <v>44</v>
      </c>
      <c r="D10" t="s">
        <v>37</v>
      </c>
      <c r="E10" t="s">
        <v>18</v>
      </c>
      <c r="F10" t="s">
        <v>59</v>
      </c>
      <c r="G10" t="s">
        <v>60</v>
      </c>
      <c r="H10" t="s">
        <v>31</v>
      </c>
      <c r="I10">
        <v>3</v>
      </c>
      <c r="J10">
        <v>5</v>
      </c>
      <c r="K10" t="s">
        <v>41</v>
      </c>
      <c r="L10" t="s">
        <v>23</v>
      </c>
      <c r="M10" t="s">
        <v>42</v>
      </c>
      <c r="N10" t="s">
        <v>43</v>
      </c>
      <c r="O10" t="s">
        <v>23</v>
      </c>
      <c r="P10">
        <v>1.5</v>
      </c>
      <c r="Q10" t="s">
        <v>25</v>
      </c>
    </row>
    <row r="11" spans="1:17" x14ac:dyDescent="0.45">
      <c r="A11">
        <v>10</v>
      </c>
      <c r="B11" s="1">
        <v>45520</v>
      </c>
      <c r="C11" t="s">
        <v>61</v>
      </c>
      <c r="D11" t="s">
        <v>17</v>
      </c>
      <c r="E11" t="s">
        <v>28</v>
      </c>
      <c r="F11" t="s">
        <v>62</v>
      </c>
      <c r="G11" t="s">
        <v>63</v>
      </c>
      <c r="H11" t="s">
        <v>21</v>
      </c>
      <c r="I11" t="s">
        <v>32</v>
      </c>
      <c r="J11" t="s">
        <v>32</v>
      </c>
      <c r="K11" t="s">
        <v>33</v>
      </c>
      <c r="L11" t="s">
        <v>23</v>
      </c>
      <c r="M11" t="s">
        <v>17</v>
      </c>
      <c r="N11" t="s">
        <v>32</v>
      </c>
      <c r="O11" t="s">
        <v>35</v>
      </c>
      <c r="P11">
        <v>2</v>
      </c>
      <c r="Q11" t="s">
        <v>25</v>
      </c>
    </row>
    <row r="12" spans="1:17" x14ac:dyDescent="0.45">
      <c r="A12">
        <v>11</v>
      </c>
      <c r="B12" s="1">
        <v>45520</v>
      </c>
      <c r="C12" t="s">
        <v>16</v>
      </c>
      <c r="D12" t="s">
        <v>27</v>
      </c>
      <c r="E12" t="s">
        <v>18</v>
      </c>
      <c r="F12" t="s">
        <v>64</v>
      </c>
      <c r="G12" t="s">
        <v>65</v>
      </c>
      <c r="H12" t="s">
        <v>47</v>
      </c>
      <c r="I12">
        <v>12</v>
      </c>
      <c r="J12">
        <v>2</v>
      </c>
      <c r="K12" t="s">
        <v>22</v>
      </c>
      <c r="L12" t="s">
        <v>35</v>
      </c>
      <c r="M12" t="s">
        <v>34</v>
      </c>
      <c r="N12" t="s">
        <v>24</v>
      </c>
      <c r="O12" t="s">
        <v>35</v>
      </c>
      <c r="P12">
        <v>1</v>
      </c>
      <c r="Q12" t="s">
        <v>49</v>
      </c>
    </row>
    <row r="13" spans="1:17" x14ac:dyDescent="0.45">
      <c r="A13">
        <v>12</v>
      </c>
      <c r="B13" s="1">
        <v>45521</v>
      </c>
      <c r="C13" t="s">
        <v>26</v>
      </c>
      <c r="D13" t="s">
        <v>37</v>
      </c>
      <c r="E13" t="s">
        <v>18</v>
      </c>
      <c r="F13" t="s">
        <v>66</v>
      </c>
      <c r="G13" t="s">
        <v>67</v>
      </c>
      <c r="H13" t="s">
        <v>40</v>
      </c>
      <c r="I13">
        <v>4</v>
      </c>
      <c r="J13">
        <v>5</v>
      </c>
      <c r="K13" t="s">
        <v>41</v>
      </c>
      <c r="L13" t="s">
        <v>23</v>
      </c>
      <c r="M13" t="s">
        <v>42</v>
      </c>
      <c r="N13" t="s">
        <v>43</v>
      </c>
      <c r="O13" t="s">
        <v>23</v>
      </c>
      <c r="P13">
        <v>0.5</v>
      </c>
      <c r="Q13" t="s">
        <v>25</v>
      </c>
    </row>
    <row r="14" spans="1:17" x14ac:dyDescent="0.45">
      <c r="A14">
        <v>13</v>
      </c>
      <c r="B14" s="1">
        <v>45523</v>
      </c>
      <c r="C14" t="s">
        <v>26</v>
      </c>
      <c r="D14" t="s">
        <v>17</v>
      </c>
      <c r="E14" t="s">
        <v>18</v>
      </c>
      <c r="F14" t="s">
        <v>68</v>
      </c>
      <c r="G14" t="s">
        <v>69</v>
      </c>
      <c r="H14" t="s">
        <v>21</v>
      </c>
      <c r="I14">
        <v>7</v>
      </c>
      <c r="J14">
        <v>3</v>
      </c>
      <c r="K14" t="s">
        <v>33</v>
      </c>
      <c r="L14" t="s">
        <v>35</v>
      </c>
      <c r="M14" t="s">
        <v>17</v>
      </c>
      <c r="N14" t="s">
        <v>24</v>
      </c>
      <c r="O14" t="s">
        <v>35</v>
      </c>
      <c r="P14">
        <v>1</v>
      </c>
      <c r="Q14" t="s">
        <v>25</v>
      </c>
    </row>
    <row r="15" spans="1:17" x14ac:dyDescent="0.45">
      <c r="A15">
        <v>14</v>
      </c>
      <c r="B15" s="1">
        <v>45493</v>
      </c>
      <c r="C15" t="s">
        <v>44</v>
      </c>
      <c r="D15" t="s">
        <v>27</v>
      </c>
      <c r="E15" t="s">
        <v>50</v>
      </c>
      <c r="F15" t="s">
        <v>70</v>
      </c>
      <c r="G15" t="s">
        <v>71</v>
      </c>
      <c r="H15" t="s">
        <v>31</v>
      </c>
      <c r="I15" t="s">
        <v>32</v>
      </c>
      <c r="J15" t="s">
        <v>32</v>
      </c>
      <c r="K15" t="s">
        <v>48</v>
      </c>
      <c r="L15" t="s">
        <v>23</v>
      </c>
      <c r="M15" t="s">
        <v>34</v>
      </c>
      <c r="N15" t="s">
        <v>32</v>
      </c>
      <c r="O15" t="s">
        <v>35</v>
      </c>
      <c r="P15">
        <v>2</v>
      </c>
      <c r="Q15" t="s">
        <v>49</v>
      </c>
    </row>
    <row r="16" spans="1:17" x14ac:dyDescent="0.45">
      <c r="A16">
        <v>15</v>
      </c>
      <c r="B16" s="1">
        <v>45525</v>
      </c>
      <c r="C16" t="s">
        <v>61</v>
      </c>
      <c r="D16" t="s">
        <v>37</v>
      </c>
      <c r="E16" t="s">
        <v>18</v>
      </c>
      <c r="F16" t="s">
        <v>72</v>
      </c>
      <c r="G16" t="s">
        <v>73</v>
      </c>
      <c r="H16" t="s">
        <v>40</v>
      </c>
      <c r="I16">
        <v>5</v>
      </c>
      <c r="J16">
        <v>4</v>
      </c>
      <c r="K16" t="s">
        <v>41</v>
      </c>
      <c r="L16" t="s">
        <v>23</v>
      </c>
      <c r="M16" t="s">
        <v>42</v>
      </c>
      <c r="N16" t="s">
        <v>43</v>
      </c>
      <c r="O16" t="s">
        <v>23</v>
      </c>
      <c r="P16">
        <v>1</v>
      </c>
      <c r="Q16" t="s">
        <v>25</v>
      </c>
    </row>
    <row r="17" spans="1:17" x14ac:dyDescent="0.45">
      <c r="A17">
        <v>16</v>
      </c>
      <c r="B17" s="1">
        <v>45527</v>
      </c>
      <c r="C17" t="s">
        <v>16</v>
      </c>
      <c r="D17" t="s">
        <v>17</v>
      </c>
      <c r="E17" t="s">
        <v>28</v>
      </c>
      <c r="F17" t="s">
        <v>74</v>
      </c>
      <c r="G17" t="s">
        <v>75</v>
      </c>
      <c r="H17" t="s">
        <v>47</v>
      </c>
      <c r="I17" t="s">
        <v>32</v>
      </c>
      <c r="J17" t="s">
        <v>32</v>
      </c>
      <c r="K17" t="s">
        <v>33</v>
      </c>
      <c r="L17" t="s">
        <v>23</v>
      </c>
      <c r="M17" t="s">
        <v>17</v>
      </c>
      <c r="N17" t="s">
        <v>32</v>
      </c>
      <c r="O17" t="s">
        <v>35</v>
      </c>
      <c r="P17">
        <v>0.5</v>
      </c>
      <c r="Q17" t="s">
        <v>25</v>
      </c>
    </row>
    <row r="18" spans="1:17" x14ac:dyDescent="0.45">
      <c r="A18">
        <v>17</v>
      </c>
      <c r="B18" s="1">
        <v>45528</v>
      </c>
      <c r="C18" t="s">
        <v>26</v>
      </c>
      <c r="D18" t="s">
        <v>27</v>
      </c>
      <c r="E18" t="s">
        <v>18</v>
      </c>
      <c r="F18" t="s">
        <v>76</v>
      </c>
      <c r="G18" t="s">
        <v>77</v>
      </c>
      <c r="H18" t="s">
        <v>31</v>
      </c>
      <c r="I18">
        <v>9</v>
      </c>
      <c r="J18">
        <v>3</v>
      </c>
      <c r="K18" t="s">
        <v>48</v>
      </c>
      <c r="L18" t="s">
        <v>35</v>
      </c>
      <c r="M18" t="s">
        <v>34</v>
      </c>
      <c r="N18" t="s">
        <v>24</v>
      </c>
      <c r="O18" t="s">
        <v>35</v>
      </c>
      <c r="P18">
        <v>2</v>
      </c>
      <c r="Q18" t="s">
        <v>49</v>
      </c>
    </row>
    <row r="19" spans="1:17" x14ac:dyDescent="0.45">
      <c r="A19">
        <v>18</v>
      </c>
      <c r="B19" s="1">
        <v>45528</v>
      </c>
      <c r="C19" t="s">
        <v>16</v>
      </c>
      <c r="D19" t="s">
        <v>37</v>
      </c>
      <c r="E19" t="s">
        <v>28</v>
      </c>
      <c r="F19" t="s">
        <v>78</v>
      </c>
      <c r="G19" t="s">
        <v>79</v>
      </c>
      <c r="H19" t="s">
        <v>40</v>
      </c>
      <c r="I19" t="s">
        <v>32</v>
      </c>
      <c r="J19">
        <v>5</v>
      </c>
      <c r="K19" t="s">
        <v>41</v>
      </c>
      <c r="L19" t="s">
        <v>23</v>
      </c>
      <c r="M19" t="s">
        <v>42</v>
      </c>
      <c r="N19" t="s">
        <v>32</v>
      </c>
      <c r="O19" t="s">
        <v>23</v>
      </c>
      <c r="P19">
        <v>1.5</v>
      </c>
      <c r="Q19" t="s">
        <v>25</v>
      </c>
    </row>
    <row r="20" spans="1:17" x14ac:dyDescent="0.45">
      <c r="A20">
        <v>19</v>
      </c>
      <c r="B20" s="1">
        <v>45529</v>
      </c>
      <c r="C20" t="s">
        <v>26</v>
      </c>
      <c r="D20" t="s">
        <v>17</v>
      </c>
      <c r="E20" t="s">
        <v>18</v>
      </c>
      <c r="F20" t="s">
        <v>80</v>
      </c>
      <c r="G20" t="s">
        <v>81</v>
      </c>
      <c r="H20" t="s">
        <v>21</v>
      </c>
      <c r="I20">
        <v>6</v>
      </c>
      <c r="J20">
        <v>4</v>
      </c>
      <c r="K20" t="s">
        <v>22</v>
      </c>
      <c r="L20" t="s">
        <v>23</v>
      </c>
      <c r="M20" t="s">
        <v>17</v>
      </c>
      <c r="N20" t="s">
        <v>24</v>
      </c>
      <c r="O20" t="s">
        <v>23</v>
      </c>
      <c r="P20">
        <v>1</v>
      </c>
      <c r="Q20" t="s">
        <v>25</v>
      </c>
    </row>
    <row r="21" spans="1:17" x14ac:dyDescent="0.45">
      <c r="A21">
        <v>20</v>
      </c>
      <c r="B21" s="1">
        <v>45530</v>
      </c>
      <c r="C21" t="s">
        <v>61</v>
      </c>
      <c r="D21" t="s">
        <v>27</v>
      </c>
      <c r="E21" t="s">
        <v>18</v>
      </c>
      <c r="F21" t="s">
        <v>82</v>
      </c>
      <c r="G21" t="s">
        <v>83</v>
      </c>
      <c r="H21" t="s">
        <v>47</v>
      </c>
      <c r="I21">
        <v>11</v>
      </c>
      <c r="J21">
        <v>2</v>
      </c>
      <c r="K21" t="s">
        <v>33</v>
      </c>
      <c r="L21" t="s">
        <v>35</v>
      </c>
      <c r="M21" t="s">
        <v>34</v>
      </c>
      <c r="N21" t="s">
        <v>24</v>
      </c>
      <c r="O21" t="s">
        <v>35</v>
      </c>
      <c r="P21">
        <v>0.5</v>
      </c>
      <c r="Q21" t="s">
        <v>49</v>
      </c>
    </row>
    <row r="22" spans="1:17" x14ac:dyDescent="0.45">
      <c r="A22">
        <v>21</v>
      </c>
      <c r="B22" s="1">
        <v>45531</v>
      </c>
      <c r="C22" t="s">
        <v>36</v>
      </c>
      <c r="D22" t="s">
        <v>37</v>
      </c>
      <c r="E22" t="s">
        <v>18</v>
      </c>
      <c r="F22" t="s">
        <v>38</v>
      </c>
      <c r="G22" t="s">
        <v>39</v>
      </c>
      <c r="H22" t="s">
        <v>40</v>
      </c>
      <c r="I22">
        <v>4</v>
      </c>
      <c r="J22">
        <v>4</v>
      </c>
      <c r="K22" t="s">
        <v>41</v>
      </c>
      <c r="L22" t="s">
        <v>23</v>
      </c>
      <c r="M22" t="s">
        <v>42</v>
      </c>
      <c r="N22" t="s">
        <v>43</v>
      </c>
      <c r="O22" t="s">
        <v>23</v>
      </c>
      <c r="P22">
        <v>1</v>
      </c>
      <c r="Q22" t="s">
        <v>25</v>
      </c>
    </row>
    <row r="23" spans="1:17" x14ac:dyDescent="0.45">
      <c r="A23">
        <v>22</v>
      </c>
      <c r="B23" s="1">
        <v>45532</v>
      </c>
      <c r="C23" t="s">
        <v>44</v>
      </c>
      <c r="D23" t="s">
        <v>27</v>
      </c>
      <c r="E23" t="s">
        <v>18</v>
      </c>
      <c r="F23" t="s">
        <v>45</v>
      </c>
      <c r="G23" t="s">
        <v>46</v>
      </c>
      <c r="H23" t="s">
        <v>47</v>
      </c>
      <c r="I23">
        <v>10</v>
      </c>
      <c r="J23">
        <v>3</v>
      </c>
      <c r="K23" t="s">
        <v>48</v>
      </c>
      <c r="L23" t="s">
        <v>35</v>
      </c>
      <c r="M23" t="s">
        <v>34</v>
      </c>
      <c r="N23" t="s">
        <v>24</v>
      </c>
      <c r="O23" t="s">
        <v>35</v>
      </c>
      <c r="P23">
        <v>0.5</v>
      </c>
      <c r="Q23" t="s">
        <v>49</v>
      </c>
    </row>
    <row r="24" spans="1:17" x14ac:dyDescent="0.45">
      <c r="A24">
        <v>23</v>
      </c>
      <c r="B24" s="1">
        <v>45533</v>
      </c>
      <c r="C24" t="s">
        <v>16</v>
      </c>
      <c r="D24" t="s">
        <v>17</v>
      </c>
      <c r="E24" t="s">
        <v>50</v>
      </c>
      <c r="F24" t="s">
        <v>51</v>
      </c>
      <c r="G24" t="s">
        <v>52</v>
      </c>
      <c r="H24" t="s">
        <v>21</v>
      </c>
      <c r="I24" t="s">
        <v>32</v>
      </c>
      <c r="J24" t="s">
        <v>32</v>
      </c>
      <c r="K24" t="s">
        <v>22</v>
      </c>
      <c r="L24" t="s">
        <v>23</v>
      </c>
      <c r="M24" t="s">
        <v>17</v>
      </c>
      <c r="N24" t="s">
        <v>32</v>
      </c>
      <c r="O24" t="s">
        <v>35</v>
      </c>
      <c r="P24">
        <v>1</v>
      </c>
      <c r="Q24" t="s">
        <v>25</v>
      </c>
    </row>
    <row r="25" spans="1:17" x14ac:dyDescent="0.45">
      <c r="A25">
        <v>24</v>
      </c>
      <c r="B25" s="1">
        <v>45535</v>
      </c>
      <c r="C25" t="s">
        <v>16</v>
      </c>
      <c r="D25" t="s">
        <v>37</v>
      </c>
      <c r="E25" t="s">
        <v>18</v>
      </c>
      <c r="F25" t="s">
        <v>53</v>
      </c>
      <c r="G25" t="s">
        <v>54</v>
      </c>
      <c r="H25" t="s">
        <v>31</v>
      </c>
      <c r="I25">
        <v>5</v>
      </c>
      <c r="J25">
        <v>5</v>
      </c>
      <c r="K25" t="s">
        <v>33</v>
      </c>
      <c r="L25" t="s">
        <v>23</v>
      </c>
      <c r="M25" t="s">
        <v>42</v>
      </c>
      <c r="N25" t="s">
        <v>43</v>
      </c>
      <c r="O25" t="s">
        <v>23</v>
      </c>
      <c r="P25">
        <v>2</v>
      </c>
      <c r="Q25" t="s">
        <v>25</v>
      </c>
    </row>
    <row r="26" spans="1:17" x14ac:dyDescent="0.45">
      <c r="A26">
        <v>25</v>
      </c>
      <c r="B26" s="1">
        <v>45474</v>
      </c>
      <c r="C26" t="s">
        <v>16</v>
      </c>
      <c r="D26" t="s">
        <v>17</v>
      </c>
      <c r="E26" t="s">
        <v>18</v>
      </c>
      <c r="F26" t="s">
        <v>19</v>
      </c>
      <c r="G26" t="s">
        <v>20</v>
      </c>
      <c r="H26" t="s">
        <v>21</v>
      </c>
      <c r="I26">
        <v>6</v>
      </c>
      <c r="J26">
        <v>5</v>
      </c>
      <c r="K26" t="s">
        <v>22</v>
      </c>
      <c r="L26" t="s">
        <v>23</v>
      </c>
      <c r="M26" t="s">
        <v>17</v>
      </c>
      <c r="N26" t="s">
        <v>24</v>
      </c>
      <c r="O26" t="s">
        <v>23</v>
      </c>
      <c r="P26">
        <v>1</v>
      </c>
      <c r="Q26" t="s">
        <v>25</v>
      </c>
    </row>
    <row r="27" spans="1:17" x14ac:dyDescent="0.45">
      <c r="A27">
        <v>26</v>
      </c>
      <c r="B27" s="1">
        <v>45476</v>
      </c>
      <c r="C27" t="s">
        <v>26</v>
      </c>
      <c r="D27" t="s">
        <v>27</v>
      </c>
      <c r="E27" t="s">
        <v>28</v>
      </c>
      <c r="F27" t="s">
        <v>29</v>
      </c>
      <c r="G27" t="s">
        <v>30</v>
      </c>
      <c r="H27" t="s">
        <v>31</v>
      </c>
      <c r="I27" t="s">
        <v>32</v>
      </c>
      <c r="J27" t="s">
        <v>32</v>
      </c>
      <c r="K27" t="s">
        <v>33</v>
      </c>
      <c r="L27" t="s">
        <v>23</v>
      </c>
      <c r="M27" t="s">
        <v>34</v>
      </c>
      <c r="N27" t="s">
        <v>32</v>
      </c>
      <c r="O27" t="s">
        <v>35</v>
      </c>
      <c r="P27">
        <v>2</v>
      </c>
      <c r="Q27" t="s">
        <v>25</v>
      </c>
    </row>
    <row r="28" spans="1:17" x14ac:dyDescent="0.45">
      <c r="A28">
        <v>27</v>
      </c>
      <c r="B28" s="1">
        <v>45478</v>
      </c>
      <c r="C28" t="s">
        <v>36</v>
      </c>
      <c r="D28" t="s">
        <v>37</v>
      </c>
      <c r="E28" t="s">
        <v>18</v>
      </c>
      <c r="F28" t="s">
        <v>38</v>
      </c>
      <c r="G28" t="s">
        <v>39</v>
      </c>
      <c r="H28" t="s">
        <v>40</v>
      </c>
      <c r="I28">
        <v>4</v>
      </c>
      <c r="J28">
        <v>4</v>
      </c>
      <c r="K28" t="s">
        <v>41</v>
      </c>
      <c r="L28" t="s">
        <v>23</v>
      </c>
      <c r="M28" t="s">
        <v>42</v>
      </c>
      <c r="N28" t="s">
        <v>43</v>
      </c>
      <c r="O28" t="s">
        <v>23</v>
      </c>
      <c r="P28">
        <v>1</v>
      </c>
      <c r="Q28" t="s">
        <v>25</v>
      </c>
    </row>
    <row r="29" spans="1:17" x14ac:dyDescent="0.45">
      <c r="A29">
        <v>28</v>
      </c>
      <c r="B29" s="1">
        <v>45480</v>
      </c>
      <c r="C29" t="s">
        <v>44</v>
      </c>
      <c r="D29" t="s">
        <v>27</v>
      </c>
      <c r="E29" t="s">
        <v>18</v>
      </c>
      <c r="F29" t="s">
        <v>45</v>
      </c>
      <c r="G29" t="s">
        <v>46</v>
      </c>
      <c r="H29" t="s">
        <v>47</v>
      </c>
      <c r="I29">
        <v>10</v>
      </c>
      <c r="J29">
        <v>3</v>
      </c>
      <c r="K29" t="s">
        <v>48</v>
      </c>
      <c r="L29" t="s">
        <v>35</v>
      </c>
      <c r="M29" t="s">
        <v>34</v>
      </c>
      <c r="N29" t="s">
        <v>24</v>
      </c>
      <c r="O29" t="s">
        <v>35</v>
      </c>
      <c r="P29">
        <v>0.5</v>
      </c>
      <c r="Q29" t="s">
        <v>49</v>
      </c>
    </row>
    <row r="30" spans="1:17" x14ac:dyDescent="0.45">
      <c r="A30">
        <v>29</v>
      </c>
      <c r="B30" s="1">
        <v>45480</v>
      </c>
      <c r="C30" t="s">
        <v>61</v>
      </c>
      <c r="D30" t="s">
        <v>17</v>
      </c>
      <c r="E30" t="s">
        <v>50</v>
      </c>
      <c r="F30" t="s">
        <v>51</v>
      </c>
      <c r="G30" t="s">
        <v>52</v>
      </c>
      <c r="H30" t="s">
        <v>21</v>
      </c>
      <c r="I30" t="s">
        <v>32</v>
      </c>
      <c r="J30" t="s">
        <v>32</v>
      </c>
      <c r="K30" t="s">
        <v>22</v>
      </c>
      <c r="L30" t="s">
        <v>23</v>
      </c>
      <c r="M30" t="s">
        <v>17</v>
      </c>
      <c r="N30" t="s">
        <v>32</v>
      </c>
      <c r="O30" t="s">
        <v>35</v>
      </c>
      <c r="P30">
        <v>1</v>
      </c>
      <c r="Q30" t="s">
        <v>25</v>
      </c>
    </row>
    <row r="31" spans="1:17" x14ac:dyDescent="0.45">
      <c r="A31">
        <v>30</v>
      </c>
      <c r="B31" s="1">
        <v>45481</v>
      </c>
      <c r="C31" t="s">
        <v>16</v>
      </c>
      <c r="D31" t="s">
        <v>37</v>
      </c>
      <c r="E31" t="s">
        <v>18</v>
      </c>
      <c r="F31" t="s">
        <v>53</v>
      </c>
      <c r="G31" t="s">
        <v>54</v>
      </c>
      <c r="H31" t="s">
        <v>31</v>
      </c>
      <c r="I31">
        <v>5</v>
      </c>
      <c r="J31">
        <v>5</v>
      </c>
      <c r="K31" t="s">
        <v>33</v>
      </c>
      <c r="L31" t="s">
        <v>23</v>
      </c>
      <c r="M31" t="s">
        <v>42</v>
      </c>
      <c r="N31" t="s">
        <v>43</v>
      </c>
      <c r="O31" t="s">
        <v>23</v>
      </c>
      <c r="P31">
        <v>2</v>
      </c>
      <c r="Q31" t="s">
        <v>25</v>
      </c>
    </row>
    <row r="32" spans="1:17" x14ac:dyDescent="0.45">
      <c r="A32">
        <v>31</v>
      </c>
      <c r="B32" s="1">
        <v>45482</v>
      </c>
      <c r="C32" t="s">
        <v>26</v>
      </c>
      <c r="D32" t="s">
        <v>17</v>
      </c>
      <c r="E32" t="s">
        <v>28</v>
      </c>
      <c r="F32" t="s">
        <v>55</v>
      </c>
      <c r="G32" t="s">
        <v>56</v>
      </c>
      <c r="H32" t="s">
        <v>21</v>
      </c>
      <c r="I32" t="s">
        <v>32</v>
      </c>
      <c r="J32" t="s">
        <v>32</v>
      </c>
      <c r="K32" t="s">
        <v>22</v>
      </c>
      <c r="L32" t="s">
        <v>23</v>
      </c>
      <c r="M32" t="s">
        <v>17</v>
      </c>
      <c r="N32" t="s">
        <v>32</v>
      </c>
      <c r="O32" t="s">
        <v>35</v>
      </c>
      <c r="P32">
        <v>1.5</v>
      </c>
      <c r="Q32" t="s">
        <v>25</v>
      </c>
    </row>
    <row r="33" spans="1:17" x14ac:dyDescent="0.45">
      <c r="A33">
        <v>32</v>
      </c>
      <c r="B33" s="1">
        <v>45484</v>
      </c>
      <c r="C33" t="s">
        <v>36</v>
      </c>
      <c r="D33" t="s">
        <v>27</v>
      </c>
      <c r="E33" t="s">
        <v>18</v>
      </c>
      <c r="F33" t="s">
        <v>57</v>
      </c>
      <c r="G33" t="s">
        <v>58</v>
      </c>
      <c r="H33" t="s">
        <v>40</v>
      </c>
      <c r="I33">
        <v>8</v>
      </c>
      <c r="J33">
        <v>4</v>
      </c>
      <c r="K33" t="s">
        <v>48</v>
      </c>
      <c r="L33" t="s">
        <v>35</v>
      </c>
      <c r="M33" t="s">
        <v>34</v>
      </c>
      <c r="N33" t="s">
        <v>24</v>
      </c>
      <c r="O33" t="s">
        <v>23</v>
      </c>
      <c r="P33">
        <v>2</v>
      </c>
      <c r="Q33" t="s">
        <v>49</v>
      </c>
    </row>
    <row r="34" spans="1:17" x14ac:dyDescent="0.45">
      <c r="A34">
        <v>33</v>
      </c>
      <c r="B34" s="1">
        <v>45486</v>
      </c>
      <c r="C34" t="s">
        <v>44</v>
      </c>
      <c r="D34" t="s">
        <v>37</v>
      </c>
      <c r="E34" t="s">
        <v>18</v>
      </c>
      <c r="F34" t="s">
        <v>59</v>
      </c>
      <c r="G34" t="s">
        <v>60</v>
      </c>
      <c r="H34" t="s">
        <v>31</v>
      </c>
      <c r="I34">
        <v>3</v>
      </c>
      <c r="J34">
        <v>5</v>
      </c>
      <c r="K34" t="s">
        <v>41</v>
      </c>
      <c r="L34" t="s">
        <v>23</v>
      </c>
      <c r="M34" t="s">
        <v>42</v>
      </c>
      <c r="N34" t="s">
        <v>43</v>
      </c>
      <c r="O34" t="s">
        <v>23</v>
      </c>
      <c r="P34">
        <v>1.5</v>
      </c>
      <c r="Q34" t="s">
        <v>25</v>
      </c>
    </row>
    <row r="35" spans="1:17" x14ac:dyDescent="0.45">
      <c r="A35">
        <v>34</v>
      </c>
      <c r="B35" s="1">
        <v>45487</v>
      </c>
      <c r="C35" t="s">
        <v>61</v>
      </c>
      <c r="D35" t="s">
        <v>17</v>
      </c>
      <c r="E35" t="s">
        <v>28</v>
      </c>
      <c r="F35" t="s">
        <v>62</v>
      </c>
      <c r="G35" t="s">
        <v>63</v>
      </c>
      <c r="H35" t="s">
        <v>21</v>
      </c>
      <c r="I35" t="s">
        <v>32</v>
      </c>
      <c r="J35" t="s">
        <v>32</v>
      </c>
      <c r="K35" t="s">
        <v>33</v>
      </c>
      <c r="L35" t="s">
        <v>23</v>
      </c>
      <c r="M35" t="s">
        <v>17</v>
      </c>
      <c r="N35" t="s">
        <v>32</v>
      </c>
      <c r="O35" t="s">
        <v>35</v>
      </c>
      <c r="P35">
        <v>2</v>
      </c>
      <c r="Q35" t="s">
        <v>25</v>
      </c>
    </row>
    <row r="36" spans="1:17" x14ac:dyDescent="0.45">
      <c r="A36">
        <v>35</v>
      </c>
      <c r="B36" s="1">
        <v>45488</v>
      </c>
      <c r="C36" t="s">
        <v>16</v>
      </c>
      <c r="D36" t="s">
        <v>27</v>
      </c>
      <c r="E36" t="s">
        <v>18</v>
      </c>
      <c r="F36" t="s">
        <v>64</v>
      </c>
      <c r="G36" t="s">
        <v>65</v>
      </c>
      <c r="H36" t="s">
        <v>47</v>
      </c>
      <c r="I36">
        <v>12</v>
      </c>
      <c r="J36">
        <v>2</v>
      </c>
      <c r="K36" t="s">
        <v>22</v>
      </c>
      <c r="L36" t="s">
        <v>35</v>
      </c>
      <c r="M36" t="s">
        <v>34</v>
      </c>
      <c r="N36" t="s">
        <v>24</v>
      </c>
      <c r="O36" t="s">
        <v>35</v>
      </c>
      <c r="P36">
        <v>1</v>
      </c>
      <c r="Q36" t="s">
        <v>49</v>
      </c>
    </row>
    <row r="37" spans="1:17" x14ac:dyDescent="0.45">
      <c r="A37">
        <v>36</v>
      </c>
      <c r="B37" s="1">
        <v>45490</v>
      </c>
      <c r="C37" t="s">
        <v>26</v>
      </c>
      <c r="D37" t="s">
        <v>37</v>
      </c>
      <c r="E37" t="s">
        <v>18</v>
      </c>
      <c r="F37" t="s">
        <v>66</v>
      </c>
      <c r="G37" t="s">
        <v>67</v>
      </c>
      <c r="H37" t="s">
        <v>40</v>
      </c>
      <c r="I37">
        <v>4</v>
      </c>
      <c r="J37">
        <v>5</v>
      </c>
      <c r="K37" t="s">
        <v>41</v>
      </c>
      <c r="L37" t="s">
        <v>23</v>
      </c>
      <c r="M37" t="s">
        <v>42</v>
      </c>
      <c r="N37" t="s">
        <v>43</v>
      </c>
      <c r="O37" t="s">
        <v>23</v>
      </c>
      <c r="P37">
        <v>0.5</v>
      </c>
      <c r="Q37" t="s">
        <v>25</v>
      </c>
    </row>
    <row r="38" spans="1:17" x14ac:dyDescent="0.45">
      <c r="A38">
        <v>37</v>
      </c>
      <c r="B38" s="1">
        <v>45492</v>
      </c>
      <c r="C38" t="s">
        <v>36</v>
      </c>
      <c r="D38" t="s">
        <v>17</v>
      </c>
      <c r="E38" t="s">
        <v>18</v>
      </c>
      <c r="F38" t="s">
        <v>68</v>
      </c>
      <c r="G38" t="s">
        <v>69</v>
      </c>
      <c r="H38" t="s">
        <v>21</v>
      </c>
      <c r="I38">
        <v>7</v>
      </c>
      <c r="J38">
        <v>3</v>
      </c>
      <c r="K38" t="s">
        <v>33</v>
      </c>
      <c r="L38" t="s">
        <v>35</v>
      </c>
      <c r="M38" t="s">
        <v>17</v>
      </c>
      <c r="N38" t="s">
        <v>24</v>
      </c>
      <c r="O38" t="s">
        <v>35</v>
      </c>
      <c r="P38">
        <v>1</v>
      </c>
      <c r="Q38" t="s">
        <v>25</v>
      </c>
    </row>
    <row r="39" spans="1:17" x14ac:dyDescent="0.45">
      <c r="A39">
        <v>38</v>
      </c>
      <c r="B39" s="1">
        <v>45493</v>
      </c>
      <c r="C39" t="s">
        <v>44</v>
      </c>
      <c r="D39" t="s">
        <v>27</v>
      </c>
      <c r="E39" t="s">
        <v>50</v>
      </c>
      <c r="F39" t="s">
        <v>70</v>
      </c>
      <c r="G39" t="s">
        <v>71</v>
      </c>
      <c r="H39" t="s">
        <v>31</v>
      </c>
      <c r="I39" t="s">
        <v>32</v>
      </c>
      <c r="J39" t="s">
        <v>32</v>
      </c>
      <c r="K39" t="s">
        <v>48</v>
      </c>
      <c r="L39" t="s">
        <v>23</v>
      </c>
      <c r="M39" t="s">
        <v>34</v>
      </c>
      <c r="N39" t="s">
        <v>32</v>
      </c>
      <c r="O39" t="s">
        <v>35</v>
      </c>
      <c r="P39">
        <v>2</v>
      </c>
      <c r="Q39" t="s">
        <v>49</v>
      </c>
    </row>
    <row r="40" spans="1:17" x14ac:dyDescent="0.45">
      <c r="A40">
        <v>39</v>
      </c>
      <c r="B40" s="1">
        <v>45494</v>
      </c>
      <c r="C40" t="s">
        <v>61</v>
      </c>
      <c r="D40" t="s">
        <v>37</v>
      </c>
      <c r="E40" t="s">
        <v>18</v>
      </c>
      <c r="F40" t="s">
        <v>72</v>
      </c>
      <c r="G40" t="s">
        <v>73</v>
      </c>
      <c r="H40" t="s">
        <v>40</v>
      </c>
      <c r="I40">
        <v>5</v>
      </c>
      <c r="J40">
        <v>4</v>
      </c>
      <c r="K40" t="s">
        <v>41</v>
      </c>
      <c r="L40" t="s">
        <v>23</v>
      </c>
      <c r="M40" t="s">
        <v>42</v>
      </c>
      <c r="N40" t="s">
        <v>43</v>
      </c>
      <c r="O40" t="s">
        <v>23</v>
      </c>
      <c r="P40">
        <v>1</v>
      </c>
      <c r="Q40" t="s">
        <v>25</v>
      </c>
    </row>
    <row r="41" spans="1:17" x14ac:dyDescent="0.45">
      <c r="A41">
        <v>40</v>
      </c>
      <c r="B41" s="1">
        <v>45496</v>
      </c>
      <c r="C41" t="s">
        <v>16</v>
      </c>
      <c r="D41" t="s">
        <v>17</v>
      </c>
      <c r="E41" t="s">
        <v>28</v>
      </c>
      <c r="F41" t="s">
        <v>74</v>
      </c>
      <c r="G41" t="s">
        <v>75</v>
      </c>
      <c r="H41" t="s">
        <v>47</v>
      </c>
      <c r="I41" t="s">
        <v>32</v>
      </c>
      <c r="J41" t="s">
        <v>32</v>
      </c>
      <c r="K41" t="s">
        <v>33</v>
      </c>
      <c r="L41" t="s">
        <v>23</v>
      </c>
      <c r="M41" t="s">
        <v>17</v>
      </c>
      <c r="N41" t="s">
        <v>32</v>
      </c>
      <c r="O41" t="s">
        <v>35</v>
      </c>
      <c r="P41">
        <v>0.5</v>
      </c>
      <c r="Q41" t="s">
        <v>25</v>
      </c>
    </row>
    <row r="42" spans="1:17" x14ac:dyDescent="0.45">
      <c r="A42">
        <v>41</v>
      </c>
      <c r="B42" s="1">
        <v>45498</v>
      </c>
      <c r="C42" t="s">
        <v>26</v>
      </c>
      <c r="D42" t="s">
        <v>27</v>
      </c>
      <c r="E42" t="s">
        <v>18</v>
      </c>
      <c r="F42" t="s">
        <v>76</v>
      </c>
      <c r="G42" t="s">
        <v>77</v>
      </c>
      <c r="H42" t="s">
        <v>31</v>
      </c>
      <c r="I42">
        <v>9</v>
      </c>
      <c r="J42">
        <v>3</v>
      </c>
      <c r="K42" t="s">
        <v>48</v>
      </c>
      <c r="L42" t="s">
        <v>35</v>
      </c>
      <c r="M42" t="s">
        <v>34</v>
      </c>
      <c r="N42" t="s">
        <v>24</v>
      </c>
      <c r="O42" t="s">
        <v>35</v>
      </c>
      <c r="P42">
        <v>2</v>
      </c>
      <c r="Q42" t="s">
        <v>49</v>
      </c>
    </row>
    <row r="43" spans="1:17" x14ac:dyDescent="0.45">
      <c r="A43">
        <v>42</v>
      </c>
      <c r="B43" s="1">
        <v>45500</v>
      </c>
      <c r="C43" t="s">
        <v>36</v>
      </c>
      <c r="D43" t="s">
        <v>37</v>
      </c>
      <c r="E43" t="s">
        <v>18</v>
      </c>
      <c r="F43" t="s">
        <v>78</v>
      </c>
      <c r="G43" t="s">
        <v>79</v>
      </c>
      <c r="H43" t="s">
        <v>40</v>
      </c>
      <c r="I43">
        <v>4</v>
      </c>
      <c r="J43">
        <v>5</v>
      </c>
      <c r="K43" t="s">
        <v>41</v>
      </c>
      <c r="L43" t="s">
        <v>23</v>
      </c>
      <c r="M43" t="s">
        <v>42</v>
      </c>
      <c r="N43" t="s">
        <v>43</v>
      </c>
      <c r="O43" t="s">
        <v>23</v>
      </c>
      <c r="P43">
        <v>1.5</v>
      </c>
      <c r="Q43" t="s">
        <v>25</v>
      </c>
    </row>
    <row r="44" spans="1:17" x14ac:dyDescent="0.45">
      <c r="A44">
        <v>43</v>
      </c>
      <c r="B44" s="1">
        <v>45502</v>
      </c>
      <c r="C44" t="s">
        <v>44</v>
      </c>
      <c r="D44" t="s">
        <v>17</v>
      </c>
      <c r="E44" t="s">
        <v>18</v>
      </c>
      <c r="F44" t="s">
        <v>80</v>
      </c>
      <c r="G44" t="s">
        <v>81</v>
      </c>
      <c r="H44" t="s">
        <v>21</v>
      </c>
      <c r="I44">
        <v>6</v>
      </c>
      <c r="J44">
        <v>4</v>
      </c>
      <c r="K44" t="s">
        <v>22</v>
      </c>
      <c r="L44" t="s">
        <v>23</v>
      </c>
      <c r="M44" t="s">
        <v>17</v>
      </c>
      <c r="N44" t="s">
        <v>24</v>
      </c>
      <c r="O44" t="s">
        <v>23</v>
      </c>
      <c r="P44">
        <v>1</v>
      </c>
      <c r="Q44" t="s">
        <v>25</v>
      </c>
    </row>
    <row r="45" spans="1:17" x14ac:dyDescent="0.45">
      <c r="A45">
        <v>44</v>
      </c>
      <c r="B45" s="1">
        <v>45504</v>
      </c>
      <c r="C45" t="s">
        <v>61</v>
      </c>
      <c r="D45" t="s">
        <v>27</v>
      </c>
      <c r="E45" t="s">
        <v>18</v>
      </c>
      <c r="F45" t="s">
        <v>82</v>
      </c>
      <c r="G45" t="s">
        <v>83</v>
      </c>
      <c r="H45" t="s">
        <v>47</v>
      </c>
      <c r="I45">
        <v>11</v>
      </c>
      <c r="J45">
        <v>2</v>
      </c>
      <c r="K45" t="s">
        <v>33</v>
      </c>
      <c r="L45" t="s">
        <v>35</v>
      </c>
      <c r="M45" t="s">
        <v>34</v>
      </c>
      <c r="N45" t="s">
        <v>24</v>
      </c>
      <c r="O45" t="s">
        <v>35</v>
      </c>
      <c r="P45">
        <v>0.5</v>
      </c>
      <c r="Q45" t="s">
        <v>49</v>
      </c>
    </row>
    <row r="46" spans="1:17" x14ac:dyDescent="0.45">
      <c r="A46">
        <v>45</v>
      </c>
      <c r="B46" s="1">
        <v>45536</v>
      </c>
      <c r="C46" t="s">
        <v>16</v>
      </c>
      <c r="D46" t="s">
        <v>17</v>
      </c>
      <c r="E46" t="s">
        <v>18</v>
      </c>
      <c r="F46" t="s">
        <v>84</v>
      </c>
      <c r="G46" t="s">
        <v>85</v>
      </c>
      <c r="H46" t="s">
        <v>21</v>
      </c>
      <c r="I46">
        <v>4</v>
      </c>
      <c r="J46">
        <v>5</v>
      </c>
      <c r="K46" t="s">
        <v>22</v>
      </c>
      <c r="L46" t="s">
        <v>23</v>
      </c>
      <c r="M46" t="s">
        <v>17</v>
      </c>
      <c r="N46" t="s">
        <v>24</v>
      </c>
      <c r="O46" t="s">
        <v>23</v>
      </c>
      <c r="P46">
        <v>1</v>
      </c>
      <c r="Q46" t="s">
        <v>25</v>
      </c>
    </row>
    <row r="47" spans="1:17" x14ac:dyDescent="0.45">
      <c r="A47">
        <v>46</v>
      </c>
      <c r="B47" s="1">
        <v>45538</v>
      </c>
      <c r="C47" t="s">
        <v>26</v>
      </c>
      <c r="D47" t="s">
        <v>27</v>
      </c>
      <c r="E47" t="s">
        <v>18</v>
      </c>
      <c r="F47" t="s">
        <v>76</v>
      </c>
      <c r="G47" t="s">
        <v>77</v>
      </c>
      <c r="H47" t="s">
        <v>47</v>
      </c>
      <c r="I47">
        <v>9</v>
      </c>
      <c r="J47">
        <v>4</v>
      </c>
      <c r="K47" t="s">
        <v>48</v>
      </c>
      <c r="L47" t="s">
        <v>35</v>
      </c>
      <c r="M47" t="s">
        <v>34</v>
      </c>
      <c r="N47" t="s">
        <v>24</v>
      </c>
      <c r="O47" t="s">
        <v>35</v>
      </c>
      <c r="P47">
        <v>0.5</v>
      </c>
      <c r="Q47" t="s">
        <v>49</v>
      </c>
    </row>
    <row r="48" spans="1:17" x14ac:dyDescent="0.45">
      <c r="A48">
        <v>47</v>
      </c>
      <c r="B48" s="1">
        <v>45540</v>
      </c>
      <c r="C48" t="s">
        <v>36</v>
      </c>
      <c r="D48" t="s">
        <v>37</v>
      </c>
      <c r="E48" t="s">
        <v>18</v>
      </c>
      <c r="F48" t="s">
        <v>45</v>
      </c>
      <c r="G48" t="s">
        <v>46</v>
      </c>
      <c r="H48" t="s">
        <v>31</v>
      </c>
      <c r="I48">
        <v>6</v>
      </c>
      <c r="J48">
        <v>3</v>
      </c>
      <c r="K48" t="s">
        <v>33</v>
      </c>
      <c r="L48" t="s">
        <v>23</v>
      </c>
      <c r="M48" t="s">
        <v>42</v>
      </c>
      <c r="N48" t="s">
        <v>43</v>
      </c>
      <c r="O48" t="s">
        <v>23</v>
      </c>
      <c r="P48">
        <v>2</v>
      </c>
      <c r="Q48" t="s">
        <v>25</v>
      </c>
    </row>
    <row r="49" spans="1:17" x14ac:dyDescent="0.45">
      <c r="A49">
        <v>48</v>
      </c>
      <c r="B49" s="1">
        <v>45542</v>
      </c>
      <c r="C49" t="s">
        <v>61</v>
      </c>
      <c r="D49" t="s">
        <v>17</v>
      </c>
      <c r="E49" t="s">
        <v>50</v>
      </c>
      <c r="F49" t="s">
        <v>62</v>
      </c>
      <c r="G49" t="s">
        <v>86</v>
      </c>
      <c r="H49" t="s">
        <v>21</v>
      </c>
      <c r="I49" t="s">
        <v>32</v>
      </c>
      <c r="J49" t="s">
        <v>32</v>
      </c>
      <c r="K49" t="s">
        <v>22</v>
      </c>
      <c r="L49" t="s">
        <v>23</v>
      </c>
      <c r="M49" t="s">
        <v>17</v>
      </c>
      <c r="N49" t="s">
        <v>32</v>
      </c>
      <c r="O49" t="s">
        <v>35</v>
      </c>
      <c r="P49">
        <v>1</v>
      </c>
      <c r="Q49" t="s">
        <v>25</v>
      </c>
    </row>
    <row r="50" spans="1:17" x14ac:dyDescent="0.45">
      <c r="A50">
        <v>49</v>
      </c>
      <c r="B50" s="1">
        <v>45545</v>
      </c>
      <c r="C50" t="s">
        <v>16</v>
      </c>
      <c r="D50" t="s">
        <v>27</v>
      </c>
      <c r="E50" t="s">
        <v>18</v>
      </c>
      <c r="F50" t="s">
        <v>87</v>
      </c>
      <c r="G50" t="s">
        <v>88</v>
      </c>
      <c r="H50" t="s">
        <v>47</v>
      </c>
      <c r="I50">
        <v>8</v>
      </c>
      <c r="J50">
        <v>5</v>
      </c>
      <c r="K50" t="s">
        <v>33</v>
      </c>
      <c r="L50" t="s">
        <v>23</v>
      </c>
      <c r="M50" t="s">
        <v>34</v>
      </c>
      <c r="N50" t="s">
        <v>24</v>
      </c>
      <c r="O50" t="s">
        <v>23</v>
      </c>
      <c r="P50">
        <v>1.5</v>
      </c>
      <c r="Q50" t="s">
        <v>49</v>
      </c>
    </row>
    <row r="51" spans="1:17" x14ac:dyDescent="0.45">
      <c r="A51">
        <v>50</v>
      </c>
      <c r="B51" s="1">
        <v>45547</v>
      </c>
      <c r="C51" t="s">
        <v>44</v>
      </c>
      <c r="D51" t="s">
        <v>37</v>
      </c>
      <c r="E51" t="s">
        <v>18</v>
      </c>
      <c r="F51" t="s">
        <v>38</v>
      </c>
      <c r="G51" t="s">
        <v>89</v>
      </c>
      <c r="H51" t="s">
        <v>40</v>
      </c>
      <c r="I51">
        <v>3</v>
      </c>
      <c r="J51">
        <v>5</v>
      </c>
      <c r="K51" t="s">
        <v>41</v>
      </c>
      <c r="L51" t="s">
        <v>23</v>
      </c>
      <c r="M51" t="s">
        <v>42</v>
      </c>
      <c r="N51" t="s">
        <v>43</v>
      </c>
      <c r="O51" t="s">
        <v>23</v>
      </c>
      <c r="P51">
        <v>1</v>
      </c>
      <c r="Q51" t="s">
        <v>25</v>
      </c>
    </row>
    <row r="52" spans="1:17" x14ac:dyDescent="0.45">
      <c r="A52">
        <v>51</v>
      </c>
      <c r="B52" s="1">
        <v>45548</v>
      </c>
      <c r="C52" t="s">
        <v>26</v>
      </c>
      <c r="D52" t="s">
        <v>17</v>
      </c>
      <c r="E52" t="s">
        <v>18</v>
      </c>
      <c r="F52" t="s">
        <v>19</v>
      </c>
      <c r="G52" t="s">
        <v>20</v>
      </c>
      <c r="H52" t="s">
        <v>31</v>
      </c>
      <c r="I52">
        <v>7</v>
      </c>
      <c r="J52">
        <v>4</v>
      </c>
      <c r="K52" t="s">
        <v>48</v>
      </c>
      <c r="L52" t="s">
        <v>35</v>
      </c>
      <c r="M52" t="s">
        <v>17</v>
      </c>
      <c r="N52" t="s">
        <v>24</v>
      </c>
      <c r="O52" t="s">
        <v>35</v>
      </c>
      <c r="P52">
        <v>2</v>
      </c>
      <c r="Q52" t="s">
        <v>49</v>
      </c>
    </row>
    <row r="53" spans="1:17" x14ac:dyDescent="0.45">
      <c r="A53">
        <v>52</v>
      </c>
      <c r="B53" s="1">
        <v>45549</v>
      </c>
      <c r="C53" t="s">
        <v>36</v>
      </c>
      <c r="D53" t="s">
        <v>27</v>
      </c>
      <c r="E53" t="s">
        <v>18</v>
      </c>
      <c r="F53" t="s">
        <v>51</v>
      </c>
      <c r="G53" t="s">
        <v>90</v>
      </c>
      <c r="H53" t="s">
        <v>21</v>
      </c>
      <c r="I53">
        <v>12</v>
      </c>
      <c r="J53">
        <v>3</v>
      </c>
      <c r="K53" t="s">
        <v>22</v>
      </c>
      <c r="L53" t="s">
        <v>35</v>
      </c>
      <c r="M53" t="s">
        <v>34</v>
      </c>
      <c r="N53" t="s">
        <v>24</v>
      </c>
      <c r="O53" t="s">
        <v>35</v>
      </c>
      <c r="P53">
        <v>1</v>
      </c>
      <c r="Q53" t="s">
        <v>25</v>
      </c>
    </row>
    <row r="54" spans="1:17" x14ac:dyDescent="0.45">
      <c r="A54">
        <v>53</v>
      </c>
      <c r="B54" s="1">
        <v>45551</v>
      </c>
      <c r="C54" t="s">
        <v>61</v>
      </c>
      <c r="D54" t="s">
        <v>37</v>
      </c>
      <c r="E54" t="s">
        <v>50</v>
      </c>
      <c r="F54" t="s">
        <v>53</v>
      </c>
      <c r="G54" t="s">
        <v>54</v>
      </c>
      <c r="H54" t="s">
        <v>31</v>
      </c>
      <c r="I54" t="s">
        <v>32</v>
      </c>
      <c r="J54" t="s">
        <v>32</v>
      </c>
      <c r="K54" t="s">
        <v>33</v>
      </c>
      <c r="L54" t="s">
        <v>23</v>
      </c>
      <c r="M54" t="s">
        <v>42</v>
      </c>
      <c r="N54" t="s">
        <v>32</v>
      </c>
      <c r="O54" t="s">
        <v>35</v>
      </c>
      <c r="P54">
        <v>1.5</v>
      </c>
      <c r="Q54" t="s">
        <v>25</v>
      </c>
    </row>
    <row r="55" spans="1:17" x14ac:dyDescent="0.45">
      <c r="A55">
        <v>54</v>
      </c>
      <c r="B55" s="1">
        <v>45553</v>
      </c>
      <c r="C55" t="s">
        <v>44</v>
      </c>
      <c r="D55" t="s">
        <v>17</v>
      </c>
      <c r="E55" t="s">
        <v>18</v>
      </c>
      <c r="F55" t="s">
        <v>55</v>
      </c>
      <c r="G55" t="s">
        <v>91</v>
      </c>
      <c r="H55" t="s">
        <v>21</v>
      </c>
      <c r="I55">
        <v>5</v>
      </c>
      <c r="J55">
        <v>4</v>
      </c>
      <c r="K55" t="s">
        <v>41</v>
      </c>
      <c r="L55" t="s">
        <v>23</v>
      </c>
      <c r="M55" t="s">
        <v>17</v>
      </c>
      <c r="N55" t="s">
        <v>24</v>
      </c>
      <c r="O55" t="s">
        <v>23</v>
      </c>
      <c r="P55">
        <v>1.5</v>
      </c>
      <c r="Q55" t="s">
        <v>25</v>
      </c>
    </row>
    <row r="56" spans="1:17" x14ac:dyDescent="0.45">
      <c r="A56">
        <v>55</v>
      </c>
      <c r="B56" s="1">
        <v>45555</v>
      </c>
      <c r="C56" t="s">
        <v>16</v>
      </c>
      <c r="D56" t="s">
        <v>27</v>
      </c>
      <c r="E56" t="s">
        <v>18</v>
      </c>
      <c r="F56" t="s">
        <v>59</v>
      </c>
      <c r="G56" t="s">
        <v>60</v>
      </c>
      <c r="H56" t="s">
        <v>47</v>
      </c>
      <c r="I56">
        <v>7</v>
      </c>
      <c r="J56">
        <v>5</v>
      </c>
      <c r="K56" t="s">
        <v>22</v>
      </c>
      <c r="L56" t="s">
        <v>23</v>
      </c>
      <c r="M56" t="s">
        <v>34</v>
      </c>
      <c r="N56" t="s">
        <v>24</v>
      </c>
      <c r="O56" t="s">
        <v>23</v>
      </c>
      <c r="P56">
        <v>0.5</v>
      </c>
      <c r="Q56" t="s">
        <v>49</v>
      </c>
    </row>
    <row r="57" spans="1:17" x14ac:dyDescent="0.45">
      <c r="A57">
        <v>56</v>
      </c>
      <c r="B57" s="1">
        <v>45557</v>
      </c>
      <c r="C57" t="s">
        <v>26</v>
      </c>
      <c r="D57" t="s">
        <v>37</v>
      </c>
      <c r="E57" t="s">
        <v>18</v>
      </c>
      <c r="F57" t="s">
        <v>62</v>
      </c>
      <c r="G57" t="s">
        <v>63</v>
      </c>
      <c r="H57" t="s">
        <v>40</v>
      </c>
      <c r="I57">
        <v>2</v>
      </c>
      <c r="J57">
        <v>5</v>
      </c>
      <c r="K57" t="s">
        <v>33</v>
      </c>
      <c r="L57" t="s">
        <v>23</v>
      </c>
      <c r="M57" t="s">
        <v>42</v>
      </c>
      <c r="N57" t="s">
        <v>43</v>
      </c>
      <c r="O57" t="s">
        <v>23</v>
      </c>
      <c r="P57">
        <v>1</v>
      </c>
      <c r="Q57" t="s">
        <v>25</v>
      </c>
    </row>
    <row r="58" spans="1:17" x14ac:dyDescent="0.45">
      <c r="A58">
        <v>57</v>
      </c>
      <c r="B58" s="1">
        <v>45559</v>
      </c>
      <c r="C58" t="s">
        <v>36</v>
      </c>
      <c r="D58" t="s">
        <v>17</v>
      </c>
      <c r="E58" t="s">
        <v>18</v>
      </c>
      <c r="F58" t="s">
        <v>64</v>
      </c>
      <c r="G58" t="s">
        <v>92</v>
      </c>
      <c r="H58" t="s">
        <v>21</v>
      </c>
      <c r="I58">
        <v>9</v>
      </c>
      <c r="J58">
        <v>3</v>
      </c>
      <c r="K58" t="s">
        <v>48</v>
      </c>
      <c r="L58" t="s">
        <v>35</v>
      </c>
      <c r="M58" t="s">
        <v>17</v>
      </c>
      <c r="N58" t="s">
        <v>24</v>
      </c>
      <c r="O58" t="s">
        <v>35</v>
      </c>
      <c r="P58">
        <v>2</v>
      </c>
      <c r="Q58" t="s">
        <v>49</v>
      </c>
    </row>
    <row r="59" spans="1:17" x14ac:dyDescent="0.45">
      <c r="A59">
        <v>58</v>
      </c>
      <c r="B59" s="1">
        <v>45561</v>
      </c>
      <c r="C59" t="s">
        <v>61</v>
      </c>
      <c r="D59" t="s">
        <v>27</v>
      </c>
      <c r="E59" t="s">
        <v>28</v>
      </c>
      <c r="F59" t="s">
        <v>82</v>
      </c>
      <c r="G59" t="s">
        <v>83</v>
      </c>
      <c r="H59" t="s">
        <v>31</v>
      </c>
      <c r="I59" t="s">
        <v>32</v>
      </c>
      <c r="J59" t="s">
        <v>32</v>
      </c>
      <c r="K59" t="s">
        <v>22</v>
      </c>
      <c r="L59" t="s">
        <v>23</v>
      </c>
      <c r="M59" t="s">
        <v>34</v>
      </c>
      <c r="N59" t="s">
        <v>32</v>
      </c>
      <c r="O59" t="s">
        <v>35</v>
      </c>
      <c r="P59">
        <v>2</v>
      </c>
      <c r="Q59" t="s">
        <v>25</v>
      </c>
    </row>
    <row r="60" spans="1:17" x14ac:dyDescent="0.45">
      <c r="A60">
        <v>59</v>
      </c>
      <c r="B60" s="1">
        <v>45563</v>
      </c>
      <c r="C60" t="s">
        <v>16</v>
      </c>
      <c r="D60" t="s">
        <v>37</v>
      </c>
      <c r="E60" t="s">
        <v>18</v>
      </c>
      <c r="F60" t="s">
        <v>93</v>
      </c>
      <c r="G60" t="s">
        <v>94</v>
      </c>
      <c r="H60" t="s">
        <v>40</v>
      </c>
      <c r="I60">
        <v>3</v>
      </c>
      <c r="J60">
        <v>5</v>
      </c>
      <c r="K60" t="s">
        <v>33</v>
      </c>
      <c r="L60" t="s">
        <v>23</v>
      </c>
      <c r="M60" t="s">
        <v>42</v>
      </c>
      <c r="N60" t="s">
        <v>43</v>
      </c>
      <c r="O60" t="s">
        <v>23</v>
      </c>
      <c r="P60">
        <v>1</v>
      </c>
      <c r="Q60" t="s">
        <v>25</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E1F5D-D274-41EC-808F-6A710AF0E61E}">
  <sheetPr codeName="Sheet2"/>
  <dimension ref="A3:M58"/>
  <sheetViews>
    <sheetView topLeftCell="A18" workbookViewId="0">
      <selection activeCell="B48" sqref="B48"/>
    </sheetView>
  </sheetViews>
  <sheetFormatPr defaultRowHeight="14.25" x14ac:dyDescent="0.45"/>
  <cols>
    <col min="1" max="1" width="17.3984375" bestFit="1" customWidth="1"/>
    <col min="2" max="2" width="15.6640625" bestFit="1" customWidth="1"/>
    <col min="3" max="3" width="9.73046875" bestFit="1" customWidth="1"/>
    <col min="4" max="4" width="5.19921875" bestFit="1" customWidth="1"/>
    <col min="5" max="5" width="20.73046875" bestFit="1" customWidth="1"/>
    <col min="6" max="6" width="15.6640625" bestFit="1" customWidth="1"/>
    <col min="8" max="8" width="16.1328125" bestFit="1" customWidth="1"/>
    <col min="9" max="9" width="15.6640625" bestFit="1" customWidth="1"/>
    <col min="10" max="10" width="5.6640625" bestFit="1" customWidth="1"/>
    <col min="11" max="11" width="8.265625" bestFit="1" customWidth="1"/>
    <col min="12" max="12" width="10.19921875" bestFit="1" customWidth="1"/>
  </cols>
  <sheetData>
    <row r="3" spans="1:13" x14ac:dyDescent="0.45">
      <c r="A3" s="2" t="s">
        <v>3</v>
      </c>
      <c r="B3" t="s">
        <v>102</v>
      </c>
      <c r="E3" s="2" t="s">
        <v>2</v>
      </c>
      <c r="F3" t="s">
        <v>102</v>
      </c>
      <c r="H3" s="2" t="s">
        <v>101</v>
      </c>
      <c r="I3" t="s">
        <v>102</v>
      </c>
      <c r="J3" s="4" t="s">
        <v>105</v>
      </c>
      <c r="L3" s="4" t="s">
        <v>106</v>
      </c>
      <c r="M3" t="s">
        <v>104</v>
      </c>
    </row>
    <row r="4" spans="1:13" x14ac:dyDescent="0.45">
      <c r="A4" s="3" t="s">
        <v>18</v>
      </c>
      <c r="B4" s="15">
        <v>42</v>
      </c>
      <c r="E4" s="3" t="s">
        <v>27</v>
      </c>
      <c r="F4" s="15">
        <v>20</v>
      </c>
      <c r="H4" s="3">
        <v>5</v>
      </c>
      <c r="I4" s="15">
        <v>17</v>
      </c>
      <c r="J4">
        <f>H4*I4</f>
        <v>85</v>
      </c>
      <c r="L4" s="5" cm="1">
        <f t="array" ref="L4">SUM(J4:J9/SUM(I4:I9))</f>
        <v>3.9767441860465116</v>
      </c>
    </row>
    <row r="5" spans="1:13" x14ac:dyDescent="0.45">
      <c r="A5" s="3" t="s">
        <v>28</v>
      </c>
      <c r="B5" s="15">
        <v>10</v>
      </c>
      <c r="C5" t="s">
        <v>104</v>
      </c>
      <c r="E5" s="3" t="s">
        <v>17</v>
      </c>
      <c r="F5" s="15">
        <v>20</v>
      </c>
      <c r="G5" t="s">
        <v>104</v>
      </c>
      <c r="H5" s="3">
        <v>4</v>
      </c>
      <c r="I5" s="15">
        <v>12</v>
      </c>
      <c r="J5">
        <f t="shared" ref="J5:J10" si="0">H5*I5</f>
        <v>48</v>
      </c>
      <c r="K5" t="s">
        <v>104</v>
      </c>
    </row>
    <row r="6" spans="1:13" x14ac:dyDescent="0.45">
      <c r="A6" s="3" t="s">
        <v>50</v>
      </c>
      <c r="B6" s="15">
        <v>7</v>
      </c>
      <c r="E6" s="3" t="s">
        <v>37</v>
      </c>
      <c r="F6" s="15">
        <v>19</v>
      </c>
      <c r="H6" s="3">
        <v>3</v>
      </c>
      <c r="I6" s="15">
        <v>10</v>
      </c>
      <c r="J6">
        <f t="shared" si="0"/>
        <v>30</v>
      </c>
    </row>
    <row r="7" spans="1:13" x14ac:dyDescent="0.45">
      <c r="H7" s="3">
        <v>2</v>
      </c>
      <c r="I7" s="15">
        <v>4</v>
      </c>
      <c r="J7">
        <f t="shared" si="0"/>
        <v>8</v>
      </c>
    </row>
    <row r="8" spans="1:13" x14ac:dyDescent="0.45">
      <c r="J8">
        <f t="shared" si="0"/>
        <v>0</v>
      </c>
    </row>
    <row r="9" spans="1:13" x14ac:dyDescent="0.45">
      <c r="J9">
        <f t="shared" si="0"/>
        <v>0</v>
      </c>
    </row>
    <row r="10" spans="1:13" x14ac:dyDescent="0.45">
      <c r="A10" s="2" t="s">
        <v>100</v>
      </c>
      <c r="B10" t="s">
        <v>102</v>
      </c>
      <c r="J10">
        <f t="shared" si="0"/>
        <v>0</v>
      </c>
    </row>
    <row r="11" spans="1:13" x14ac:dyDescent="0.45">
      <c r="A11" s="3" t="s">
        <v>21</v>
      </c>
      <c r="B11" s="15">
        <v>18</v>
      </c>
      <c r="C11" t="s">
        <v>104</v>
      </c>
    </row>
    <row r="12" spans="1:13" x14ac:dyDescent="0.45">
      <c r="A12" s="3" t="s">
        <v>31</v>
      </c>
      <c r="B12" s="15">
        <v>15</v>
      </c>
      <c r="E12" s="2" t="s">
        <v>9</v>
      </c>
      <c r="F12" t="s">
        <v>102</v>
      </c>
    </row>
    <row r="13" spans="1:13" x14ac:dyDescent="0.45">
      <c r="A13" s="3" t="s">
        <v>40</v>
      </c>
      <c r="B13" s="15">
        <v>14</v>
      </c>
      <c r="E13" s="3" t="s">
        <v>33</v>
      </c>
      <c r="F13" s="15">
        <v>18</v>
      </c>
      <c r="G13" t="s">
        <v>104</v>
      </c>
    </row>
    <row r="14" spans="1:13" x14ac:dyDescent="0.45">
      <c r="A14" s="3" t="s">
        <v>47</v>
      </c>
      <c r="B14" s="15">
        <v>12</v>
      </c>
      <c r="E14" s="3" t="s">
        <v>22</v>
      </c>
      <c r="F14" s="15">
        <v>16</v>
      </c>
    </row>
    <row r="15" spans="1:13" x14ac:dyDescent="0.45">
      <c r="E15" s="3" t="s">
        <v>41</v>
      </c>
      <c r="F15" s="15">
        <v>13</v>
      </c>
    </row>
    <row r="16" spans="1:13" x14ac:dyDescent="0.45">
      <c r="E16" s="3" t="s">
        <v>48</v>
      </c>
      <c r="F16" s="15">
        <v>12</v>
      </c>
    </row>
    <row r="19" spans="1:9" x14ac:dyDescent="0.45">
      <c r="A19" s="2" t="s">
        <v>10</v>
      </c>
      <c r="B19" t="s">
        <v>102</v>
      </c>
    </row>
    <row r="20" spans="1:9" x14ac:dyDescent="0.45">
      <c r="A20" s="3" t="s">
        <v>23</v>
      </c>
      <c r="B20" s="7">
        <v>0.71186440677966101</v>
      </c>
      <c r="C20" s="8">
        <f>B20</f>
        <v>0.71186440677966101</v>
      </c>
      <c r="E20" s="2" t="s">
        <v>11</v>
      </c>
      <c r="F20" t="s">
        <v>102</v>
      </c>
      <c r="H20" s="2" t="s">
        <v>12</v>
      </c>
      <c r="I20" t="s">
        <v>102</v>
      </c>
    </row>
    <row r="21" spans="1:9" x14ac:dyDescent="0.45">
      <c r="A21" s="3" t="s">
        <v>35</v>
      </c>
      <c r="B21" s="7">
        <v>0.28813559322033899</v>
      </c>
      <c r="C21" s="8">
        <f>B21</f>
        <v>0.28813559322033899</v>
      </c>
      <c r="D21" t="s">
        <v>104</v>
      </c>
      <c r="E21" s="3" t="s">
        <v>34</v>
      </c>
      <c r="F21" s="15">
        <v>20</v>
      </c>
      <c r="H21" s="3" t="s">
        <v>24</v>
      </c>
      <c r="I21" s="15">
        <v>25</v>
      </c>
    </row>
    <row r="22" spans="1:9" x14ac:dyDescent="0.45">
      <c r="E22" s="3" t="s">
        <v>17</v>
      </c>
      <c r="F22" s="15">
        <v>20</v>
      </c>
      <c r="H22" s="3" t="s">
        <v>32</v>
      </c>
      <c r="I22" s="15">
        <v>17</v>
      </c>
    </row>
    <row r="23" spans="1:9" x14ac:dyDescent="0.45">
      <c r="E23" s="3" t="s">
        <v>42</v>
      </c>
      <c r="F23" s="15">
        <v>19</v>
      </c>
      <c r="H23" s="3" t="s">
        <v>43</v>
      </c>
      <c r="I23" s="15">
        <v>17</v>
      </c>
    </row>
    <row r="26" spans="1:9" x14ac:dyDescent="0.45">
      <c r="A26" s="2" t="s">
        <v>13</v>
      </c>
      <c r="B26" t="s">
        <v>102</v>
      </c>
    </row>
    <row r="27" spans="1:9" x14ac:dyDescent="0.45">
      <c r="A27" s="3" t="s">
        <v>35</v>
      </c>
      <c r="B27" s="15">
        <v>31</v>
      </c>
      <c r="E27" s="2" t="s">
        <v>98</v>
      </c>
      <c r="F27" t="s">
        <v>102</v>
      </c>
    </row>
    <row r="28" spans="1:9" x14ac:dyDescent="0.45">
      <c r="A28" s="3" t="s">
        <v>23</v>
      </c>
      <c r="B28" s="15">
        <v>28</v>
      </c>
      <c r="E28" s="3">
        <v>1</v>
      </c>
      <c r="F28" s="15">
        <v>22</v>
      </c>
      <c r="H28" s="2" t="s">
        <v>15</v>
      </c>
      <c r="I28" t="s">
        <v>102</v>
      </c>
    </row>
    <row r="29" spans="1:9" x14ac:dyDescent="0.45">
      <c r="E29" s="3">
        <v>2</v>
      </c>
      <c r="F29" s="15">
        <v>17</v>
      </c>
      <c r="H29" s="3" t="s">
        <v>25</v>
      </c>
      <c r="I29" s="15">
        <v>41</v>
      </c>
    </row>
    <row r="30" spans="1:9" x14ac:dyDescent="0.45">
      <c r="E30" s="3">
        <v>0.5</v>
      </c>
      <c r="F30" s="15">
        <v>11</v>
      </c>
      <c r="H30" s="3" t="s">
        <v>49</v>
      </c>
      <c r="I30" s="15">
        <v>18</v>
      </c>
    </row>
    <row r="31" spans="1:9" x14ac:dyDescent="0.45">
      <c r="E31" s="3">
        <v>1.5</v>
      </c>
      <c r="F31" s="15">
        <v>9</v>
      </c>
    </row>
    <row r="33" spans="1:6" x14ac:dyDescent="0.45">
      <c r="A33" s="2" t="s">
        <v>99</v>
      </c>
      <c r="B33" t="s">
        <v>102</v>
      </c>
    </row>
    <row r="34" spans="1:6" x14ac:dyDescent="0.45">
      <c r="A34" s="3">
        <v>2</v>
      </c>
      <c r="B34" s="15">
        <v>1</v>
      </c>
      <c r="C34">
        <f>A34*B34</f>
        <v>2</v>
      </c>
    </row>
    <row r="35" spans="1:6" x14ac:dyDescent="0.45">
      <c r="A35" s="3">
        <v>3</v>
      </c>
      <c r="B35" s="15">
        <v>4</v>
      </c>
      <c r="C35">
        <f t="shared" ref="C35:C44" si="1">A35*B35</f>
        <v>12</v>
      </c>
      <c r="E35" t="s">
        <v>103</v>
      </c>
    </row>
    <row r="36" spans="1:6" x14ac:dyDescent="0.45">
      <c r="A36" s="3">
        <v>4</v>
      </c>
      <c r="B36" s="15">
        <v>7</v>
      </c>
      <c r="C36">
        <f t="shared" si="1"/>
        <v>28</v>
      </c>
      <c r="E36" s="15">
        <v>59</v>
      </c>
      <c r="F36" t="s">
        <v>104</v>
      </c>
    </row>
    <row r="37" spans="1:6" x14ac:dyDescent="0.45">
      <c r="A37" s="3">
        <v>5</v>
      </c>
      <c r="B37" s="15">
        <v>6</v>
      </c>
      <c r="C37">
        <f t="shared" si="1"/>
        <v>30</v>
      </c>
    </row>
    <row r="38" spans="1:6" x14ac:dyDescent="0.45">
      <c r="A38" s="3">
        <v>6</v>
      </c>
      <c r="B38" s="15">
        <v>5</v>
      </c>
      <c r="C38">
        <f t="shared" si="1"/>
        <v>30</v>
      </c>
    </row>
    <row r="39" spans="1:6" x14ac:dyDescent="0.45">
      <c r="A39" s="3">
        <v>7</v>
      </c>
      <c r="B39" s="15">
        <v>4</v>
      </c>
      <c r="C39">
        <f t="shared" si="1"/>
        <v>28</v>
      </c>
    </row>
    <row r="40" spans="1:6" x14ac:dyDescent="0.45">
      <c r="A40" s="3">
        <v>8</v>
      </c>
      <c r="B40" s="15">
        <v>3</v>
      </c>
      <c r="C40">
        <f t="shared" si="1"/>
        <v>24</v>
      </c>
    </row>
    <row r="41" spans="1:6" x14ac:dyDescent="0.45">
      <c r="A41" s="3">
        <v>9</v>
      </c>
      <c r="B41" s="15">
        <v>4</v>
      </c>
      <c r="C41">
        <f t="shared" si="1"/>
        <v>36</v>
      </c>
      <c r="E41" s="2" t="s">
        <v>108</v>
      </c>
      <c r="F41" t="s">
        <v>102</v>
      </c>
    </row>
    <row r="42" spans="1:6" x14ac:dyDescent="0.45">
      <c r="A42" s="3">
        <v>10</v>
      </c>
      <c r="B42" s="15">
        <v>3</v>
      </c>
      <c r="C42">
        <f t="shared" si="1"/>
        <v>30</v>
      </c>
      <c r="E42" s="3" t="s">
        <v>95</v>
      </c>
      <c r="F42" s="15">
        <v>21</v>
      </c>
    </row>
    <row r="43" spans="1:6" x14ac:dyDescent="0.45">
      <c r="A43" s="3">
        <v>11</v>
      </c>
      <c r="B43" s="15">
        <v>2</v>
      </c>
      <c r="C43">
        <f t="shared" si="1"/>
        <v>22</v>
      </c>
      <c r="E43" s="3" t="s">
        <v>96</v>
      </c>
      <c r="F43" s="15">
        <v>23</v>
      </c>
    </row>
    <row r="44" spans="1:6" x14ac:dyDescent="0.45">
      <c r="A44" s="3">
        <v>12</v>
      </c>
      <c r="B44" s="15">
        <v>3</v>
      </c>
      <c r="C44">
        <f t="shared" si="1"/>
        <v>36</v>
      </c>
      <c r="E44" s="3" t="s">
        <v>97</v>
      </c>
      <c r="F44" s="15">
        <v>15</v>
      </c>
    </row>
    <row r="48" spans="1:6" ht="14.65" thickBot="1" x14ac:dyDescent="0.5">
      <c r="A48" s="9" t="s">
        <v>111</v>
      </c>
      <c r="B48" s="14">
        <f>SUM(C34:C47)/SUM(B34:B47)</f>
        <v>6.6190476190476186</v>
      </c>
      <c r="C48" t="s">
        <v>104</v>
      </c>
    </row>
    <row r="52" spans="1:4" x14ac:dyDescent="0.45">
      <c r="A52" s="2" t="s">
        <v>110</v>
      </c>
      <c r="B52" s="2" t="s">
        <v>109</v>
      </c>
    </row>
    <row r="53" spans="1:4" x14ac:dyDescent="0.45">
      <c r="A53" s="2" t="s">
        <v>1</v>
      </c>
      <c r="B53" t="s">
        <v>18</v>
      </c>
      <c r="C53" t="s">
        <v>50</v>
      </c>
      <c r="D53" t="s">
        <v>28</v>
      </c>
    </row>
    <row r="54" spans="1:4" x14ac:dyDescent="0.45">
      <c r="A54" s="3" t="s">
        <v>16</v>
      </c>
      <c r="B54" s="15">
        <v>11</v>
      </c>
      <c r="C54" s="15">
        <v>2</v>
      </c>
      <c r="D54" s="15">
        <v>3</v>
      </c>
    </row>
    <row r="55" spans="1:4" x14ac:dyDescent="0.45">
      <c r="A55" s="3" t="s">
        <v>26</v>
      </c>
      <c r="B55" s="15">
        <v>9</v>
      </c>
      <c r="C55" s="15"/>
      <c r="D55" s="15">
        <v>4</v>
      </c>
    </row>
    <row r="56" spans="1:4" x14ac:dyDescent="0.45">
      <c r="A56" s="3" t="s">
        <v>61</v>
      </c>
      <c r="B56" s="15">
        <v>4</v>
      </c>
      <c r="C56" s="15">
        <v>3</v>
      </c>
      <c r="D56" s="15">
        <v>3</v>
      </c>
    </row>
    <row r="57" spans="1:4" x14ac:dyDescent="0.45">
      <c r="A57" s="3" t="s">
        <v>44</v>
      </c>
      <c r="B57" s="15">
        <v>8</v>
      </c>
      <c r="C57" s="15">
        <v>2</v>
      </c>
      <c r="D57" s="15"/>
    </row>
    <row r="58" spans="1:4" x14ac:dyDescent="0.45">
      <c r="A58" s="3" t="s">
        <v>36</v>
      </c>
      <c r="B58" s="15">
        <v>10</v>
      </c>
      <c r="C58" s="15"/>
      <c r="D58" s="15"/>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9F00D-44A7-4799-B394-ABF7FB674898}">
  <sheetPr codeName="Sheet3"/>
  <dimension ref="A1:W35"/>
  <sheetViews>
    <sheetView showGridLines="0" tabSelected="1" zoomScale="94" zoomScaleNormal="94" workbookViewId="0">
      <selection activeCell="N45" sqref="N45"/>
    </sheetView>
  </sheetViews>
  <sheetFormatPr defaultRowHeight="14.25" x14ac:dyDescent="0.45"/>
  <cols>
    <col min="23" max="23" width="11.33203125" customWidth="1"/>
  </cols>
  <sheetData>
    <row r="1" spans="1:23" x14ac:dyDescent="0.45">
      <c r="A1" s="6"/>
      <c r="B1" s="6"/>
      <c r="C1" s="6"/>
      <c r="D1" s="6"/>
      <c r="E1" s="6"/>
      <c r="F1" s="6"/>
      <c r="G1" s="6"/>
      <c r="H1" s="6"/>
      <c r="I1" s="6"/>
      <c r="J1" s="6"/>
      <c r="K1" s="6"/>
      <c r="L1" s="6"/>
      <c r="M1" s="6"/>
      <c r="N1" s="6"/>
      <c r="O1" s="6"/>
      <c r="P1" s="6"/>
      <c r="Q1" s="6"/>
      <c r="R1" s="6"/>
      <c r="S1" s="6"/>
      <c r="T1" s="6"/>
      <c r="U1" s="6"/>
      <c r="V1" s="6"/>
      <c r="W1" s="6"/>
    </row>
    <row r="2" spans="1:23" x14ac:dyDescent="0.45">
      <c r="A2" s="6"/>
      <c r="B2" s="6"/>
      <c r="C2" s="6"/>
      <c r="D2" s="6"/>
      <c r="E2" s="6"/>
      <c r="F2" s="6"/>
      <c r="G2" s="6"/>
      <c r="H2" s="6"/>
      <c r="I2" s="6"/>
      <c r="J2" s="6"/>
      <c r="K2" s="6"/>
      <c r="L2" s="6"/>
      <c r="M2" s="6"/>
      <c r="N2" s="6"/>
      <c r="O2" s="6"/>
      <c r="P2" s="6"/>
      <c r="Q2" s="6"/>
      <c r="R2" s="6"/>
      <c r="S2" s="6"/>
      <c r="T2" s="6"/>
      <c r="U2" s="6"/>
      <c r="V2" s="6"/>
      <c r="W2" s="6"/>
    </row>
    <row r="3" spans="1:23" x14ac:dyDescent="0.45">
      <c r="A3" s="6"/>
      <c r="B3" s="6"/>
      <c r="C3" s="6"/>
      <c r="D3" s="6"/>
      <c r="E3" s="6"/>
      <c r="F3" s="6"/>
      <c r="G3" s="6"/>
      <c r="H3" s="6"/>
      <c r="I3" s="6"/>
      <c r="J3" s="6"/>
      <c r="K3" s="6"/>
      <c r="L3" s="6"/>
      <c r="M3" s="6"/>
      <c r="N3" s="6"/>
      <c r="O3" s="6"/>
      <c r="P3" s="6"/>
      <c r="Q3" s="6"/>
      <c r="R3" s="6"/>
      <c r="S3" s="6"/>
      <c r="T3" s="6"/>
      <c r="U3" s="6"/>
      <c r="V3" s="6"/>
      <c r="W3" s="6"/>
    </row>
    <row r="4" spans="1:23" x14ac:dyDescent="0.45">
      <c r="A4" s="6"/>
      <c r="B4" s="6"/>
      <c r="C4" s="6"/>
      <c r="D4" s="6"/>
      <c r="E4" s="6"/>
      <c r="F4" s="6"/>
      <c r="G4" s="6"/>
      <c r="H4" s="6"/>
      <c r="I4" s="6"/>
      <c r="J4" s="6"/>
      <c r="K4" s="6"/>
      <c r="L4" s="6"/>
      <c r="M4" s="6"/>
      <c r="N4" s="6"/>
      <c r="O4" s="6"/>
      <c r="P4" s="6"/>
      <c r="Q4" s="6"/>
      <c r="R4" s="6"/>
      <c r="S4" s="6"/>
      <c r="T4" s="6"/>
      <c r="U4" s="6"/>
      <c r="V4" s="6"/>
      <c r="W4" s="6"/>
    </row>
    <row r="5" spans="1:23" x14ac:dyDescent="0.45">
      <c r="A5" s="6"/>
      <c r="B5" s="6"/>
      <c r="C5" s="6"/>
      <c r="D5" s="6"/>
      <c r="E5" s="6"/>
      <c r="F5" s="6"/>
      <c r="G5" s="6"/>
      <c r="H5" s="6"/>
      <c r="I5" s="6"/>
      <c r="J5" s="6"/>
      <c r="K5" s="6"/>
      <c r="L5" s="6"/>
      <c r="M5" s="6"/>
      <c r="N5" s="6"/>
      <c r="O5" s="6"/>
      <c r="P5" s="6"/>
      <c r="Q5" s="6"/>
      <c r="R5" s="6"/>
      <c r="S5" s="6"/>
      <c r="T5" s="6"/>
      <c r="U5" s="6"/>
      <c r="V5" s="6"/>
      <c r="W5" s="6"/>
    </row>
    <row r="6" spans="1:23" x14ac:dyDescent="0.45">
      <c r="A6" s="6"/>
      <c r="B6" s="6"/>
      <c r="C6" s="6"/>
      <c r="D6" s="6"/>
      <c r="E6" s="6"/>
      <c r="F6" s="6"/>
      <c r="G6" s="6"/>
      <c r="H6" s="6"/>
      <c r="I6" s="6"/>
      <c r="J6" s="6"/>
      <c r="K6" s="6"/>
      <c r="L6" s="6"/>
      <c r="M6" s="6"/>
      <c r="N6" s="6"/>
      <c r="O6" s="6"/>
      <c r="P6" s="6"/>
      <c r="Q6" s="6"/>
      <c r="R6" s="6"/>
      <c r="S6" s="6"/>
      <c r="T6" s="6"/>
      <c r="U6" s="6"/>
      <c r="V6" s="6"/>
      <c r="W6" s="6"/>
    </row>
    <row r="7" spans="1:23" x14ac:dyDescent="0.45">
      <c r="A7" s="6"/>
      <c r="B7" s="6"/>
      <c r="C7" s="6"/>
      <c r="D7" s="6"/>
      <c r="E7" s="6"/>
      <c r="F7" s="6"/>
      <c r="G7" s="6"/>
      <c r="H7" s="6"/>
      <c r="I7" s="6"/>
      <c r="J7" s="6"/>
      <c r="K7" s="6"/>
      <c r="L7" s="6"/>
      <c r="M7" s="6"/>
      <c r="N7" s="6"/>
      <c r="O7" s="6"/>
      <c r="P7" s="6"/>
      <c r="Q7" s="6"/>
      <c r="R7" s="6"/>
      <c r="S7" s="6"/>
      <c r="T7" s="6"/>
      <c r="U7" s="6"/>
      <c r="V7" s="6"/>
      <c r="W7" s="6"/>
    </row>
    <row r="8" spans="1:23" x14ac:dyDescent="0.45">
      <c r="A8" s="6"/>
      <c r="B8" s="6"/>
      <c r="C8" s="6"/>
      <c r="D8" s="6"/>
      <c r="E8" s="6"/>
      <c r="F8" s="6"/>
      <c r="G8" s="6"/>
      <c r="H8" s="6"/>
      <c r="I8" s="6"/>
      <c r="J8" s="6"/>
      <c r="K8" s="6"/>
      <c r="L8" s="6"/>
      <c r="M8" s="6"/>
      <c r="N8" s="6"/>
      <c r="O8" s="6"/>
      <c r="P8" s="6"/>
      <c r="Q8" s="6"/>
      <c r="R8" s="6"/>
      <c r="S8" s="6"/>
      <c r="T8" s="6"/>
      <c r="U8" s="6"/>
      <c r="V8" s="6"/>
      <c r="W8" s="6"/>
    </row>
    <row r="9" spans="1:23" x14ac:dyDescent="0.45">
      <c r="A9" s="6"/>
      <c r="B9" s="6"/>
      <c r="C9" s="6"/>
      <c r="D9" s="6"/>
      <c r="E9" s="6"/>
      <c r="F9" s="6"/>
      <c r="G9" s="6"/>
      <c r="H9" s="6"/>
      <c r="I9" s="6"/>
      <c r="J9" s="6"/>
      <c r="K9" s="6"/>
      <c r="L9" s="6"/>
      <c r="M9" s="6"/>
      <c r="N9" s="6"/>
      <c r="O9" s="6"/>
      <c r="P9" s="6"/>
      <c r="Q9" s="6"/>
      <c r="R9" s="6"/>
      <c r="S9" s="6"/>
      <c r="T9" s="6"/>
      <c r="U9" s="6"/>
      <c r="V9" s="6"/>
      <c r="W9" s="6"/>
    </row>
    <row r="10" spans="1:23" x14ac:dyDescent="0.45">
      <c r="A10" s="6"/>
      <c r="B10" s="6"/>
      <c r="C10" s="6"/>
      <c r="D10" s="6"/>
      <c r="E10" s="6"/>
      <c r="F10" s="6"/>
      <c r="G10" s="6"/>
      <c r="H10" s="6"/>
      <c r="I10" s="6"/>
      <c r="J10" s="6"/>
      <c r="K10" s="6"/>
      <c r="L10" s="6"/>
      <c r="M10" s="6"/>
      <c r="N10" s="6"/>
      <c r="O10" s="6"/>
      <c r="P10" s="6"/>
      <c r="Q10" s="6"/>
      <c r="R10" s="6"/>
      <c r="S10" s="6"/>
      <c r="T10" s="6"/>
      <c r="U10" s="6"/>
      <c r="V10" s="6"/>
      <c r="W10" s="6"/>
    </row>
    <row r="11" spans="1:23" x14ac:dyDescent="0.45">
      <c r="A11" s="6"/>
      <c r="B11" s="6"/>
      <c r="C11" s="6"/>
      <c r="D11" s="6"/>
      <c r="E11" s="6"/>
      <c r="F11" s="6"/>
      <c r="G11" s="6"/>
      <c r="H11" s="6"/>
      <c r="I11" s="6"/>
      <c r="J11" s="6"/>
      <c r="K11" s="6"/>
      <c r="L11" s="6"/>
      <c r="M11" s="6"/>
      <c r="N11" s="6"/>
      <c r="O11" s="6"/>
      <c r="P11" s="6"/>
      <c r="Q11" s="6"/>
      <c r="R11" s="6"/>
      <c r="S11" s="6"/>
      <c r="T11" s="6"/>
      <c r="U11" s="6"/>
      <c r="V11" s="6"/>
      <c r="W11" s="6"/>
    </row>
    <row r="12" spans="1:23" x14ac:dyDescent="0.45">
      <c r="A12" s="6"/>
      <c r="B12" s="6"/>
      <c r="C12" s="6"/>
      <c r="D12" s="6"/>
      <c r="E12" s="6"/>
      <c r="F12" s="6"/>
      <c r="G12" s="6"/>
      <c r="H12" s="6"/>
      <c r="I12" s="6"/>
      <c r="J12" s="6"/>
      <c r="K12" s="6"/>
      <c r="L12" s="6"/>
      <c r="M12" s="6"/>
      <c r="N12" s="6"/>
      <c r="O12" s="6"/>
      <c r="P12" s="6"/>
      <c r="Q12" s="6"/>
      <c r="R12" s="6"/>
      <c r="S12" s="6"/>
      <c r="T12" s="6"/>
      <c r="U12" s="6"/>
      <c r="V12" s="6"/>
      <c r="W12" s="6"/>
    </row>
    <row r="13" spans="1:23" x14ac:dyDescent="0.45">
      <c r="A13" s="6"/>
      <c r="B13" s="6"/>
      <c r="C13" s="6"/>
      <c r="D13" s="6"/>
      <c r="E13" s="6"/>
      <c r="F13" s="6"/>
      <c r="G13" s="6"/>
      <c r="H13" s="6"/>
      <c r="I13" s="6"/>
      <c r="J13" s="6"/>
      <c r="K13" s="6"/>
      <c r="L13" s="6"/>
      <c r="M13" s="6"/>
      <c r="N13" s="6"/>
      <c r="O13" s="6"/>
      <c r="P13" s="6"/>
      <c r="Q13" s="6"/>
      <c r="R13" s="6"/>
      <c r="S13" s="6"/>
      <c r="T13" s="6"/>
      <c r="U13" s="6"/>
      <c r="V13" s="6"/>
      <c r="W13" s="6"/>
    </row>
    <row r="14" spans="1:23" x14ac:dyDescent="0.45">
      <c r="A14" s="6"/>
      <c r="B14" s="6"/>
      <c r="C14" s="6"/>
      <c r="D14" s="6"/>
      <c r="E14" s="6"/>
      <c r="F14" s="6"/>
      <c r="G14" s="6"/>
      <c r="H14" s="6"/>
      <c r="I14" s="6"/>
      <c r="J14" s="6"/>
      <c r="K14" s="6"/>
      <c r="L14" s="6"/>
      <c r="M14" s="6"/>
      <c r="N14" s="6"/>
      <c r="O14" s="6"/>
      <c r="P14" s="6"/>
      <c r="Q14" s="6"/>
      <c r="R14" s="6"/>
      <c r="S14" s="6"/>
      <c r="T14" s="6"/>
      <c r="U14" s="6"/>
      <c r="V14" s="6"/>
      <c r="W14" s="6"/>
    </row>
    <row r="15" spans="1:23" x14ac:dyDescent="0.45">
      <c r="A15" s="6"/>
      <c r="B15" s="6"/>
      <c r="C15" s="6"/>
      <c r="D15" s="6"/>
      <c r="E15" s="6"/>
      <c r="F15" s="6"/>
      <c r="G15" s="6"/>
      <c r="H15" s="6"/>
      <c r="I15" s="6"/>
      <c r="J15" s="6"/>
      <c r="K15" s="6"/>
      <c r="L15" s="6"/>
      <c r="M15" s="6"/>
      <c r="N15" s="6"/>
      <c r="O15" s="6"/>
      <c r="P15" s="6"/>
      <c r="Q15" s="6"/>
      <c r="R15" s="6"/>
      <c r="S15" s="6"/>
      <c r="T15" s="6"/>
      <c r="U15" s="6"/>
      <c r="V15" s="6"/>
      <c r="W15" s="6"/>
    </row>
    <row r="16" spans="1:23" x14ac:dyDescent="0.45">
      <c r="A16" s="6"/>
      <c r="B16" s="6"/>
      <c r="C16" s="6"/>
      <c r="D16" s="6"/>
      <c r="E16" s="6"/>
      <c r="F16" s="6"/>
      <c r="G16" s="6"/>
      <c r="H16" s="6"/>
      <c r="I16" s="6"/>
      <c r="J16" s="6"/>
      <c r="K16" s="6"/>
      <c r="L16" s="6"/>
      <c r="M16" s="6"/>
      <c r="N16" s="6"/>
      <c r="O16" s="6"/>
      <c r="P16" s="6"/>
      <c r="Q16" s="6"/>
      <c r="R16" s="6"/>
      <c r="S16" s="6"/>
      <c r="T16" s="6"/>
      <c r="U16" s="6"/>
      <c r="V16" s="6"/>
      <c r="W16" s="6"/>
    </row>
    <row r="17" spans="1:23" x14ac:dyDescent="0.45">
      <c r="A17" s="6"/>
      <c r="B17" s="6"/>
      <c r="C17" s="6"/>
      <c r="D17" s="6"/>
      <c r="E17" s="6"/>
      <c r="F17" s="6"/>
      <c r="G17" s="6"/>
      <c r="H17" s="6"/>
      <c r="I17" s="6"/>
      <c r="J17" s="6"/>
      <c r="K17" s="6"/>
      <c r="L17" s="6"/>
      <c r="M17" s="6"/>
      <c r="N17" s="6"/>
      <c r="O17" s="6"/>
      <c r="P17" s="6"/>
      <c r="Q17" s="6"/>
      <c r="R17" s="6"/>
      <c r="S17" s="6"/>
      <c r="T17" s="6"/>
      <c r="U17" s="6"/>
      <c r="V17" s="6"/>
      <c r="W17" s="6"/>
    </row>
    <row r="18" spans="1:23" x14ac:dyDescent="0.45">
      <c r="A18" s="6"/>
      <c r="B18" s="6"/>
      <c r="C18" s="6"/>
      <c r="D18" s="6"/>
      <c r="E18" s="6"/>
      <c r="F18" s="6"/>
      <c r="G18" s="6"/>
      <c r="H18" s="6"/>
      <c r="I18" s="6"/>
      <c r="J18" s="6"/>
      <c r="K18" s="6"/>
      <c r="L18" s="6"/>
      <c r="M18" s="6"/>
      <c r="N18" s="6"/>
      <c r="O18" s="6"/>
      <c r="P18" s="6"/>
      <c r="Q18" s="6"/>
      <c r="R18" s="6"/>
      <c r="S18" s="6"/>
      <c r="T18" s="6"/>
      <c r="U18" s="6"/>
      <c r="V18" s="6"/>
      <c r="W18" s="6"/>
    </row>
    <row r="19" spans="1:23" x14ac:dyDescent="0.45">
      <c r="A19" s="6"/>
      <c r="B19" s="6"/>
      <c r="C19" s="6"/>
      <c r="D19" s="6"/>
      <c r="E19" s="6"/>
      <c r="F19" s="6"/>
      <c r="G19" s="6"/>
      <c r="H19" s="6"/>
      <c r="I19" s="6"/>
      <c r="J19" s="6"/>
      <c r="K19" s="6"/>
      <c r="L19" s="6"/>
      <c r="M19" s="6"/>
      <c r="N19" s="6"/>
      <c r="O19" s="6"/>
      <c r="P19" s="6"/>
      <c r="Q19" s="6"/>
      <c r="R19" s="6"/>
      <c r="S19" s="6"/>
      <c r="T19" s="6"/>
      <c r="U19" s="6"/>
      <c r="V19" s="6"/>
      <c r="W19" s="6"/>
    </row>
    <row r="20" spans="1:23" x14ac:dyDescent="0.45">
      <c r="A20" s="6"/>
      <c r="B20" s="6"/>
      <c r="C20" s="6"/>
      <c r="D20" s="6"/>
      <c r="E20" s="6"/>
      <c r="F20" s="6"/>
      <c r="G20" s="6"/>
      <c r="H20" s="6"/>
      <c r="I20" s="6"/>
      <c r="J20" s="6"/>
      <c r="K20" s="6"/>
      <c r="L20" s="6"/>
      <c r="M20" s="6"/>
      <c r="N20" s="6"/>
      <c r="O20" s="6"/>
      <c r="P20" s="6"/>
      <c r="Q20" s="6"/>
      <c r="R20" s="6"/>
      <c r="S20" s="6"/>
      <c r="T20" s="6"/>
      <c r="U20" s="6"/>
      <c r="V20" s="6"/>
      <c r="W20" s="6"/>
    </row>
    <row r="21" spans="1:23" x14ac:dyDescent="0.45">
      <c r="A21" s="6"/>
      <c r="B21" s="6"/>
      <c r="C21" s="6"/>
      <c r="D21" s="6"/>
      <c r="E21" s="6"/>
      <c r="F21" s="6"/>
      <c r="G21" s="6"/>
      <c r="H21" s="6"/>
      <c r="I21" s="6"/>
      <c r="J21" s="6"/>
      <c r="K21" s="6"/>
      <c r="L21" s="6"/>
      <c r="M21" s="6"/>
      <c r="N21" s="6"/>
      <c r="O21" s="6"/>
      <c r="P21" s="6"/>
      <c r="Q21" s="6"/>
      <c r="R21" s="6"/>
      <c r="S21" s="6"/>
      <c r="T21" s="6"/>
      <c r="U21" s="6"/>
      <c r="V21" s="6"/>
      <c r="W21" s="6"/>
    </row>
    <row r="22" spans="1:23" x14ac:dyDescent="0.45">
      <c r="A22" s="6"/>
      <c r="B22" s="6"/>
      <c r="C22" s="6"/>
      <c r="D22" s="6"/>
      <c r="E22" s="6"/>
      <c r="F22" s="6"/>
      <c r="G22" s="6"/>
      <c r="H22" s="6"/>
      <c r="I22" s="6"/>
      <c r="J22" s="6"/>
      <c r="K22" s="6"/>
      <c r="L22" s="6"/>
      <c r="M22" s="6"/>
      <c r="N22" s="6"/>
      <c r="O22" s="6"/>
      <c r="P22" s="6"/>
      <c r="Q22" s="6"/>
      <c r="R22" s="6"/>
      <c r="S22" s="6"/>
      <c r="T22" s="6"/>
      <c r="U22" s="6"/>
      <c r="V22" s="6"/>
      <c r="W22" s="6"/>
    </row>
    <row r="23" spans="1:23" x14ac:dyDescent="0.45">
      <c r="A23" s="6"/>
      <c r="B23" s="6"/>
      <c r="C23" s="6"/>
      <c r="D23" s="6"/>
      <c r="E23" s="6"/>
      <c r="F23" s="6"/>
      <c r="G23" s="6"/>
      <c r="H23" s="6"/>
      <c r="I23" s="6"/>
      <c r="J23" s="6"/>
      <c r="K23" s="6"/>
      <c r="L23" s="6"/>
      <c r="M23" s="6"/>
      <c r="N23" s="6"/>
      <c r="O23" s="6"/>
      <c r="P23" s="6"/>
      <c r="Q23" s="6"/>
      <c r="R23" s="6"/>
      <c r="S23" s="6"/>
      <c r="T23" s="6"/>
      <c r="U23" s="6"/>
      <c r="V23" s="6"/>
      <c r="W23" s="6"/>
    </row>
    <row r="24" spans="1:23" x14ac:dyDescent="0.45">
      <c r="A24" s="6"/>
      <c r="B24" s="6"/>
      <c r="C24" s="6"/>
      <c r="D24" s="6"/>
      <c r="E24" s="6"/>
      <c r="F24" s="6"/>
      <c r="G24" s="6"/>
      <c r="H24" s="6"/>
      <c r="I24" s="6"/>
      <c r="J24" s="6"/>
      <c r="K24" s="6"/>
      <c r="L24" s="6"/>
      <c r="M24" s="6"/>
      <c r="N24" s="6"/>
      <c r="O24" s="6"/>
      <c r="P24" s="6"/>
      <c r="Q24" s="6"/>
      <c r="R24" s="6"/>
      <c r="S24" s="6"/>
      <c r="T24" s="6"/>
      <c r="U24" s="6"/>
      <c r="V24" s="6"/>
      <c r="W24" s="6"/>
    </row>
    <row r="25" spans="1:23" x14ac:dyDescent="0.45">
      <c r="A25" s="6"/>
      <c r="B25" s="6"/>
      <c r="C25" s="6"/>
      <c r="D25" s="6"/>
      <c r="E25" s="6"/>
      <c r="F25" s="6"/>
      <c r="G25" s="6"/>
      <c r="H25" s="6"/>
      <c r="I25" s="6"/>
      <c r="J25" s="6"/>
      <c r="K25" s="6"/>
      <c r="L25" s="6"/>
      <c r="M25" s="6"/>
      <c r="N25" s="6"/>
      <c r="O25" s="6"/>
      <c r="P25" s="6"/>
      <c r="Q25" s="6"/>
      <c r="R25" s="6"/>
      <c r="S25" s="6"/>
      <c r="T25" s="6"/>
      <c r="U25" s="6"/>
      <c r="V25" s="6"/>
      <c r="W25" s="6"/>
    </row>
    <row r="26" spans="1:23" x14ac:dyDescent="0.45">
      <c r="A26" s="6"/>
      <c r="B26" s="6"/>
      <c r="C26" s="6"/>
      <c r="D26" s="6"/>
      <c r="E26" s="6"/>
      <c r="F26" s="6"/>
      <c r="G26" s="6"/>
      <c r="H26" s="6"/>
      <c r="I26" s="6"/>
      <c r="J26" s="6"/>
      <c r="K26" s="6"/>
      <c r="L26" s="6"/>
      <c r="M26" s="6"/>
      <c r="N26" s="6"/>
      <c r="O26" s="6"/>
      <c r="P26" s="6"/>
      <c r="Q26" s="6"/>
      <c r="R26" s="6"/>
      <c r="S26" s="6"/>
      <c r="T26" s="6"/>
      <c r="U26" s="6"/>
      <c r="V26" s="6"/>
      <c r="W26" s="6"/>
    </row>
    <row r="27" spans="1:23" x14ac:dyDescent="0.45">
      <c r="A27" s="6"/>
      <c r="B27" s="6"/>
      <c r="C27" s="6"/>
      <c r="D27" s="6"/>
      <c r="E27" s="6"/>
      <c r="F27" s="6"/>
      <c r="G27" s="6"/>
      <c r="H27" s="6"/>
      <c r="I27" s="6"/>
      <c r="J27" s="6"/>
      <c r="K27" s="6"/>
      <c r="L27" s="6"/>
      <c r="M27" s="6"/>
      <c r="N27" s="6"/>
      <c r="O27" s="6"/>
      <c r="P27" s="6"/>
      <c r="Q27" s="6"/>
      <c r="R27" s="6"/>
      <c r="S27" s="6"/>
      <c r="T27" s="6"/>
      <c r="U27" s="6"/>
      <c r="V27" s="6"/>
      <c r="W27" s="6"/>
    </row>
    <row r="28" spans="1:23" x14ac:dyDescent="0.45">
      <c r="A28" s="6"/>
      <c r="B28" s="6"/>
      <c r="C28" s="6"/>
      <c r="D28" s="6"/>
      <c r="E28" s="6"/>
      <c r="F28" s="6"/>
      <c r="G28" s="6"/>
      <c r="H28" s="6"/>
      <c r="I28" s="6"/>
      <c r="J28" s="6"/>
      <c r="K28" s="6"/>
      <c r="L28" s="6"/>
      <c r="M28" s="6"/>
      <c r="N28" s="6"/>
      <c r="O28" s="6"/>
      <c r="P28" s="6"/>
      <c r="Q28" s="6"/>
      <c r="R28" s="6"/>
      <c r="S28" s="6"/>
      <c r="T28" s="6"/>
      <c r="U28" s="6"/>
      <c r="V28" s="6"/>
      <c r="W28" s="6"/>
    </row>
    <row r="29" spans="1:23" x14ac:dyDescent="0.45">
      <c r="A29" s="6"/>
      <c r="B29" s="6"/>
      <c r="C29" s="6"/>
      <c r="D29" s="6"/>
      <c r="E29" s="6"/>
      <c r="F29" s="6"/>
      <c r="G29" s="6"/>
      <c r="H29" s="6"/>
      <c r="I29" s="6"/>
      <c r="J29" s="6"/>
      <c r="K29" s="6"/>
      <c r="L29" s="6"/>
      <c r="M29" s="6"/>
      <c r="N29" s="6"/>
      <c r="O29" s="6"/>
      <c r="P29" s="6"/>
      <c r="Q29" s="6"/>
      <c r="R29" s="6"/>
      <c r="S29" s="6"/>
      <c r="T29" s="6"/>
      <c r="U29" s="6"/>
      <c r="V29" s="6"/>
      <c r="W29" s="6"/>
    </row>
    <row r="30" spans="1:23" x14ac:dyDescent="0.45">
      <c r="A30" s="6"/>
      <c r="B30" s="6"/>
      <c r="C30" s="6"/>
      <c r="D30" s="6"/>
      <c r="E30" s="6"/>
      <c r="F30" s="6"/>
      <c r="G30" s="6"/>
      <c r="H30" s="6"/>
      <c r="I30" s="6"/>
      <c r="J30" s="6"/>
      <c r="K30" s="6"/>
      <c r="L30" s="6"/>
      <c r="M30" s="6"/>
      <c r="N30" s="6"/>
      <c r="O30" s="6"/>
      <c r="P30" s="6"/>
      <c r="Q30" s="6"/>
      <c r="R30" s="6"/>
      <c r="S30" s="6"/>
      <c r="T30" s="6"/>
      <c r="U30" s="6"/>
      <c r="V30" s="6"/>
      <c r="W30" s="6"/>
    </row>
    <row r="31" spans="1:23" x14ac:dyDescent="0.45">
      <c r="A31" s="6"/>
      <c r="B31" s="6"/>
      <c r="C31" s="6"/>
      <c r="D31" s="6"/>
      <c r="E31" s="6"/>
      <c r="F31" s="6"/>
      <c r="G31" s="6"/>
      <c r="H31" s="6"/>
      <c r="I31" s="6"/>
      <c r="J31" s="6"/>
      <c r="K31" s="6"/>
      <c r="L31" s="6"/>
      <c r="M31" s="6"/>
      <c r="N31" s="6"/>
      <c r="O31" s="6"/>
      <c r="P31" s="6"/>
      <c r="Q31" s="6"/>
      <c r="R31" s="6"/>
      <c r="S31" s="6"/>
      <c r="T31" s="6"/>
      <c r="U31" s="6"/>
      <c r="V31" s="6"/>
      <c r="W31" s="6"/>
    </row>
    <row r="32" spans="1:23" x14ac:dyDescent="0.45">
      <c r="A32" s="6"/>
      <c r="B32" s="6"/>
      <c r="C32" s="6"/>
      <c r="D32" s="6"/>
      <c r="E32" s="6"/>
      <c r="F32" s="6"/>
      <c r="G32" s="6"/>
      <c r="H32" s="6"/>
      <c r="I32" s="6"/>
      <c r="J32" s="6"/>
      <c r="K32" s="6"/>
      <c r="L32" s="6"/>
      <c r="M32" s="6"/>
      <c r="N32" s="6"/>
      <c r="O32" s="6"/>
      <c r="P32" s="6"/>
      <c r="Q32" s="6"/>
      <c r="R32" s="6"/>
      <c r="S32" s="6"/>
      <c r="T32" s="6"/>
      <c r="U32" s="6"/>
      <c r="V32" s="6"/>
      <c r="W32" s="6"/>
    </row>
    <row r="33" spans="1:23" x14ac:dyDescent="0.45">
      <c r="A33" s="6"/>
      <c r="B33" s="6"/>
      <c r="C33" s="6"/>
      <c r="D33" s="6"/>
      <c r="E33" s="6"/>
      <c r="F33" s="6"/>
      <c r="G33" s="6"/>
      <c r="H33" s="6"/>
      <c r="I33" s="6"/>
      <c r="J33" s="6"/>
      <c r="K33" s="6"/>
      <c r="L33" s="6"/>
      <c r="M33" s="6"/>
      <c r="N33" s="6"/>
      <c r="O33" s="6"/>
      <c r="P33" s="6"/>
      <c r="Q33" s="6"/>
      <c r="R33" s="6"/>
      <c r="S33" s="6"/>
      <c r="T33" s="6"/>
      <c r="U33" s="6"/>
      <c r="V33" s="6"/>
      <c r="W33" s="6"/>
    </row>
    <row r="34" spans="1:23" x14ac:dyDescent="0.45">
      <c r="A34" s="6"/>
      <c r="B34" s="6"/>
      <c r="C34" s="6"/>
      <c r="D34" s="6"/>
      <c r="E34" s="6"/>
      <c r="F34" s="6"/>
      <c r="G34" s="6"/>
      <c r="H34" s="6"/>
      <c r="I34" s="6"/>
      <c r="J34" s="6"/>
      <c r="K34" s="6"/>
      <c r="L34" s="6"/>
      <c r="M34" s="6"/>
      <c r="N34" s="6"/>
      <c r="O34" s="6"/>
      <c r="P34" s="6"/>
      <c r="Q34" s="6"/>
      <c r="R34" s="6"/>
      <c r="S34" s="6"/>
      <c r="T34" s="6"/>
      <c r="U34" s="6"/>
      <c r="V34" s="6"/>
      <c r="W34" s="6"/>
    </row>
    <row r="35" spans="1:23" x14ac:dyDescent="0.45">
      <c r="A35" s="6"/>
      <c r="B35" s="6"/>
      <c r="C35" s="6"/>
      <c r="D35" s="6"/>
      <c r="E35" s="6"/>
      <c r="F35" s="6"/>
      <c r="G35" s="6"/>
      <c r="H35" s="6"/>
      <c r="I35" s="6"/>
      <c r="J35" s="6"/>
      <c r="K35" s="6"/>
      <c r="L35" s="6"/>
      <c r="M35" s="6"/>
      <c r="N35" s="6"/>
      <c r="O35" s="6"/>
      <c r="P35" s="6"/>
      <c r="Q35" s="6"/>
      <c r="R35" s="6"/>
      <c r="S35" s="6"/>
      <c r="T35" s="6"/>
      <c r="U35" s="6"/>
      <c r="V35" s="6"/>
      <c r="W35" s="6"/>
    </row>
  </sheetData>
  <sheetProtection algorithmName="SHA-512" hashValue="g/0ZoSCHtOQWqPgslEG1y6csiJoINSrgEy+9wgrvvczCcqtz9XoMjXJeMjlE1r+4Uqh1LCw/1lhlqDufIOtzLg==" saltValue="ffOwxFNXFepyG4EbJXqnxw==" spinCount="100000" sheet="1" objects="1" scenarios="1" selectLockedCells="1"/>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72EC6-6EBE-41CC-B3D3-AE3599D37AB6}">
  <sheetPr codeName="Sheet4"/>
  <dimension ref="A1:D11"/>
  <sheetViews>
    <sheetView showGridLines="0" workbookViewId="0">
      <selection activeCell="G14" sqref="G14"/>
    </sheetView>
  </sheetViews>
  <sheetFormatPr defaultColWidth="31.19921875" defaultRowHeight="28.9" customHeight="1" x14ac:dyDescent="0.45"/>
  <sheetData>
    <row r="1" spans="1:4" s="13" customFormat="1" ht="28.9" customHeight="1" x14ac:dyDescent="0.45">
      <c r="A1" s="12" t="s">
        <v>112</v>
      </c>
      <c r="B1" s="12" t="s">
        <v>113</v>
      </c>
      <c r="C1" s="12" t="s">
        <v>114</v>
      </c>
      <c r="D1" s="12" t="s">
        <v>115</v>
      </c>
    </row>
    <row r="2" spans="1:4" ht="28.9" customHeight="1" x14ac:dyDescent="0.45">
      <c r="A2" s="10" t="s">
        <v>117</v>
      </c>
      <c r="B2" t="s">
        <v>116</v>
      </c>
      <c r="C2" s="11" t="s">
        <v>127</v>
      </c>
    </row>
    <row r="3" spans="1:4" ht="28.9" customHeight="1" x14ac:dyDescent="0.45">
      <c r="A3" s="10" t="s">
        <v>118</v>
      </c>
      <c r="B3" t="s">
        <v>116</v>
      </c>
      <c r="C3" s="11" t="s">
        <v>128</v>
      </c>
    </row>
    <row r="4" spans="1:4" ht="28.9" customHeight="1" x14ac:dyDescent="0.45">
      <c r="A4" s="10" t="s">
        <v>119</v>
      </c>
      <c r="B4" t="s">
        <v>116</v>
      </c>
      <c r="C4" s="11" t="s">
        <v>129</v>
      </c>
    </row>
    <row r="5" spans="1:4" ht="28.9" customHeight="1" x14ac:dyDescent="0.45">
      <c r="A5" s="10" t="s">
        <v>120</v>
      </c>
      <c r="B5" t="s">
        <v>116</v>
      </c>
      <c r="C5" s="11" t="s">
        <v>130</v>
      </c>
    </row>
    <row r="6" spans="1:4" ht="28.9" customHeight="1" x14ac:dyDescent="0.45">
      <c r="A6" s="10" t="s">
        <v>121</v>
      </c>
      <c r="B6" t="s">
        <v>116</v>
      </c>
      <c r="C6" s="11" t="s">
        <v>131</v>
      </c>
    </row>
    <row r="7" spans="1:4" ht="28.9" customHeight="1" x14ac:dyDescent="0.45">
      <c r="A7" s="10" t="s">
        <v>122</v>
      </c>
      <c r="B7" t="s">
        <v>116</v>
      </c>
      <c r="C7" s="11" t="s">
        <v>132</v>
      </c>
    </row>
    <row r="8" spans="1:4" ht="28.9" customHeight="1" x14ac:dyDescent="0.45">
      <c r="A8" s="10" t="s">
        <v>123</v>
      </c>
      <c r="B8" t="s">
        <v>116</v>
      </c>
      <c r="C8" s="11" t="s">
        <v>133</v>
      </c>
    </row>
    <row r="9" spans="1:4" ht="28.9" customHeight="1" x14ac:dyDescent="0.45">
      <c r="A9" s="10" t="s">
        <v>124</v>
      </c>
      <c r="B9" t="s">
        <v>116</v>
      </c>
      <c r="C9" s="11" t="s">
        <v>134</v>
      </c>
    </row>
    <row r="10" spans="1:4" ht="28.9" customHeight="1" x14ac:dyDescent="0.45">
      <c r="A10" s="10" t="s">
        <v>125</v>
      </c>
      <c r="B10" t="s">
        <v>116</v>
      </c>
      <c r="C10" s="11" t="s">
        <v>135</v>
      </c>
    </row>
    <row r="11" spans="1:4" ht="28.9" customHeight="1" x14ac:dyDescent="0.45">
      <c r="A11" s="10" t="s">
        <v>126</v>
      </c>
      <c r="B11" t="s">
        <v>116</v>
      </c>
      <c r="C11" s="11" t="s">
        <v>136</v>
      </c>
    </row>
  </sheetData>
  <hyperlinks>
    <hyperlink ref="A2" r:id="rId1" xr:uid="{B0ECE50B-2158-455F-A4B3-41CC7BB152D0}"/>
    <hyperlink ref="A3" r:id="rId2" xr:uid="{6D3F9452-F47E-4FCE-A376-64407E296BA2}"/>
    <hyperlink ref="A4" r:id="rId3" xr:uid="{FC8C1683-A721-4979-9B07-8A6057929926}"/>
    <hyperlink ref="A5" r:id="rId4" xr:uid="{DAA7AE1B-B65D-4F8A-9B85-FCA9890A0A73}"/>
    <hyperlink ref="A6" r:id="rId5" xr:uid="{73B5FD6E-1178-463C-986D-6CEEC06226B8}"/>
    <hyperlink ref="A7" r:id="rId6" xr:uid="{B60C3337-7799-4CBB-A585-7250D8681A0C}"/>
    <hyperlink ref="A8" r:id="rId7" xr:uid="{6EA49E16-A4FF-4C79-9729-7127564FF04D}"/>
    <hyperlink ref="A9" r:id="rId8" xr:uid="{F6979081-81E5-48BE-AD47-D42A994CCBB1}"/>
    <hyperlink ref="A10" r:id="rId9" xr:uid="{0F143BE4-A091-4B59-A476-547345275D65}"/>
    <hyperlink ref="A11" r:id="rId10" xr:uid="{BD144C99-D799-4609-9657-EAA86AEB9AF4}"/>
  </hyperlinks>
  <pageMargins left="0.7" right="0.7" top="0.75" bottom="0.75" header="0.3" footer="0.3"/>
  <drawing r:id="rId11"/>
  <tableParts count="1">
    <tablePart r:id="rId1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B35615E-6787-4039-A697-88D4075844E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Customer Suport Report</vt:lpstr>
      <vt:lpstr>KPIs</vt:lpstr>
      <vt:lpstr>Dashboard</vt:lpstr>
      <vt:lpstr>Email Automation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Chioma Nnaoma</dc:creator>
  <cp:lastModifiedBy>Chioma Nnaoma</cp:lastModifiedBy>
  <dcterms:created xsi:type="dcterms:W3CDTF">2024-10-15T12:48:41Z</dcterms:created>
  <dcterms:modified xsi:type="dcterms:W3CDTF">2024-10-19T00:17:19Z</dcterms:modified>
</cp:coreProperties>
</file>